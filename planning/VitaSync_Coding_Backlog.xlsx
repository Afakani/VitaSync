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tables/table4.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Userstories" sheetId="2" state="visible" r:id="rId4"/>
    <sheet name="Tasks" sheetId="3" state="visible" r:id="rId5"/>
    <sheet name="Briefings" sheetId="4" state="visible" r:id="rId6"/>
    <sheet name="Entscheidungen" sheetId="5" state="visible" r:id="rId7"/>
    <sheet name="DoD M1" sheetId="6" state="visible" r:id="rId8"/>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<sst xmlns="http://schemas.openxmlformats.org/spreadsheetml/2006/main" count="3018" uniqueCount="1302">
  <si>
    <t xml:space="preserve">VitaSync – Coding-Backlog</t>
  </si>
  <si>
    <t xml:space="preserve">Arbeitsgrundlage für sieben Teammitglieder sowie einzeln beauftragte Claude-/Codex-Läufe. Stand: 14.10.2026.</t>
  </si>
  <si>
    <t xml:space="preserve">Bereich</t>
  </si>
  <si>
    <t xml:space="preserve">Anwendung</t>
  </si>
  <si>
    <t xml:space="preserve">Anzahl</t>
  </si>
  <si>
    <t xml:space="preserve">Umfang</t>
  </si>
  <si>
    <t xml:space="preserve">33 User Stories (U001–U033) und 136 Tasks einschließlich 18 Grundlagen. Nach D08 (kein Medizinprodukt) sind 4 Stories mit 13 Tasks gestrichen und weitere umgebaut; nach D09 (EU-Datenschutz, AI Act) kamen F016–F018, T-U028-03 und U033 hinzu. Siehe Spalten „Zweckprüfung (D08)“ und „Änderung“.</t>
  </si>
  <si>
    <t xml:space="preserve">Offene Tasks</t>
  </si>
  <si>
    <t xml:space="preserve">Erledigte Tasks</t>
  </si>
  <si>
    <t xml:space="preserve">Startreihenfolge</t>
  </si>
  <si>
    <t xml:space="preserve">1. Entscheidungen klären. 2. Grundlagen bauen. 3. Tasks nach Reihenfolge und Abhängigkeiten übernehmen. M1 zuerst; optionale Stories separat freigeben.</t>
  </si>
  <si>
    <t xml:space="preserve">Taskgröße</t>
  </si>
  <si>
    <t xml:space="preserve">Ein Task liefert einen begrenzten, prüfbaren Baustein. Ziel: meist eine kurze Arbeitssitzung; abhängig von Erfahrung und Codebasis. Dauert ein Task voraussichtlich über einen halben Arbeitstag, vor Beginn weiter teilen.</t>
  </si>
  <si>
    <t xml:space="preserve">Bewertung</t>
  </si>
  <si>
    <t xml:space="preserve">Komplexität 1–5; Gesamt = (Programmierung + Recherche) / 2. Task Points sind erste relative Schätzungen (2 oder 3), keine Stunden. Story-UP und Task Points nicht addieren.</t>
  </si>
  <si>
    <t xml:space="preserve">Vor dem Start</t>
  </si>
  <si>
    <t xml:space="preserve">Task muss frei, alle Voraussetzungen erfüllt und benötigte Entscheidungen bestätigt sein. Optionalen Umfang ausdrücklich auswählen. Status von Offen auf Bereit setzen; menschlichen Verantwortlichen eintragen.</t>
  </si>
  <si>
    <t xml:space="preserve">Claude-/Codex-Auftrag</t>
  </si>
  <si>
    <t xml:space="preserve">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</si>
  <si>
    <t xml:space="preserve">Arbeitsregel</t>
  </si>
  <si>
    <t xml:space="preserve">Ein Bearbeiter pro Task. Nach Implementierung: Im Review. Eine andere Person prüft und integriert. Erst dann Erledigt. Status und Zuweisung laufen über GitHub Issues (docs/Arbeitsablauf.md); diese Datei ist der Plan.</t>
  </si>
  <si>
    <t xml:space="preserve">Wichtige Grenzen</t>
  </si>
  <si>
    <t xml:space="preserve">Synthetische Demo-Daten, keine Diagnosegarantien, keine automatische medizinische Regelgenerierung. Fachlich offene Aufgaben sind Research-Aufträge; Code darf erst gegen freigegebene kleine Fälle entstehen.</t>
  </si>
  <si>
    <t xml:space="preserve">Quellenstand</t>
  </si>
  <si>
    <t xml:space="preserve">IP_Use_Cases_und_Tasks.xlsx, Version 4 vom 14.10.2026. Grundlage sind die 31 abgestimmten Story-Zuschnitte; technische Task-Zerlegung hier neu als Planungsvorschlag.</t>
  </si>
  <si>
    <t xml:space="preserve">Abhängigkeiten</t>
  </si>
  <si>
    <t xml:space="preserve">Reihenfolge ist topologisch sortiert, keine Aufwand-Priorität. Innerhalb einer Story sind Tasks konservativ nacheinander geplant. Unabhängige Aufgaben können parallel bearbeitet werden.</t>
  </si>
  <si>
    <t xml:space="preserve">MVP-Grenze</t>
  </si>
  <si>
    <t xml:space="preserve">Bei Datenabruf, Analyse und fachlichen Erklärungen startet die Implementierung mit einem vereinbarten Typ/Thema. Zusätzliche Messgrößen, Quellen und Szenarien erhalten vor Erweiterung eigene kleine Tasks.</t>
  </si>
  <si>
    <t xml:space="preserve">Zweckbestimmung</t>
  </si>
  <si>
    <t xml:space="preserve">VitaSync ist kein Medizinprodukt (D08): allgemeine Information, Anzeige eigener Daten, Berechnung ohne Bewertung, Dokumentation. Keine individuelle Bewertung, Diagnose, Dringlichkeitseinstufung, Therapie- oder Medikamentenempfehlung.</t>
  </si>
  <si>
    <t xml:space="preserve">Gestrichene Tasks</t>
  </si>
  <si>
    <t xml:space="preserve">Modulspalte</t>
  </si>
  <si>
    <t xml:space="preserve">„Modul (Vorschlag)“ in Tasks nennt den Ordner im Repository. Vorschlag, beim Übernehmen prüfen. „(neu)“ = Ordner bei Start anlegen.</t>
  </si>
  <si>
    <t xml:space="preserve">VitaSync – 31 User Stories</t>
  </si>
  <si>
    <t xml:space="preserve">Unveränderte Story-IDs und UP aus dem bisherigen Backlog. Task Points werden separat geschätzt und nicht zu UP addiert.</t>
  </si>
  <si>
    <t xml:space="preserve">ID</t>
  </si>
  <si>
    <t xml:space="preserve">Meilenstein</t>
  </si>
  <si>
    <t xml:space="preserve">User Story</t>
  </si>
  <si>
    <t xml:space="preserve">Beschreibung</t>
  </si>
  <si>
    <t xml:space="preserve">Programmierung</t>
  </si>
  <si>
    <t xml:space="preserve">Recherche</t>
  </si>
  <si>
    <t xml:space="preserve">Gesamt</t>
  </si>
  <si>
    <t xml:space="preserve">UP</t>
  </si>
  <si>
    <t xml:space="preserve">Einplanung</t>
  </si>
  <si>
    <t xml:space="preserve">Tasks</t>
  </si>
  <si>
    <t xml:space="preserve">Abgrenzung</t>
  </si>
  <si>
    <t xml:space="preserve">Zweckprüfung (D08)</t>
  </si>
  <si>
    <t xml:space="preserve">Änderung</t>
  </si>
  <si>
    <t xml:space="preserve">U001</t>
  </si>
  <si>
    <t xml:space="preserve">M3</t>
  </si>
  <si>
    <t xml:space="preserve">Notfallhinweis und allgemeine Zuständigkeiten</t>
  </si>
  <si>
    <t xml:space="preserve">Als Nutzer, der Beschwerden schildert, möchte ich bei bestimmten Warnzeichen-Stichworten sofort einen festen allgemeinen Notfallhinweis (112, 116117) sehen und allgemein erfahren, welche Stelle wofür zuständig ist.</t>
  </si>
  <si>
    <t xml:space="preserve">Kern</t>
  </si>
  <si>
    <t xml:space="preserve">Erweitert um Warnzeichen und Grenzen diagnostischer Antworten. Fachlich geprüfte Regeln; keine Garantie, jeden Notfall zu erkennen. Bisherige hohe Schätzung bleibt bestehen.</t>
  </si>
  <si>
    <t xml:space="preserve">Umgebaut</t>
  </si>
  <si>
    <t xml:space="preserve">Umgebaut nach D08: keine individuelle Dringlichkeitseinstufung, keine Triage. Fester, für alle gleicher Hinweistext aus geprüfter Quelle. Keine Garantie, jeden Notfall zu erkennen; nie Entwarnung.</t>
  </si>
  <si>
    <t xml:space="preserve">U002</t>
  </si>
  <si>
    <t xml:space="preserve">M4</t>
  </si>
  <si>
    <t xml:space="preserve">Symptome mit vermuteter Ursache</t>
  </si>
  <si>
    <t xml:space="preserve">Als Nutzer mit Beschwerden und einer vermuteten Ursache möchte ich meine Vermutung einordnen lassen, damit ich passende nächste Schritte verstehe.</t>
  </si>
  <si>
    <t xml:space="preserve">Gestrichen</t>
  </si>
  <si>
    <t xml:space="preserve">Kontext und persönliche Daten müssen kontrolliert kombiniert werden; fachliche Prüfung gegen vorschnelle Ursachenzuordnung.</t>
  </si>
  <si>
    <t xml:space="preserve">Ursachen einer Beschwerde einzuordnen ist Diagnostik.</t>
  </si>
  <si>
    <t xml:space="preserve">U003</t>
  </si>
  <si>
    <t xml:space="preserve">Unklarer Zusammenhang mehrerer Beschwerden</t>
  </si>
  <si>
    <t xml:space="preserve">Als Nutzer mit einem bekannten Ereignis und mehreren Beschwerden möchte ich klären, welche Angaben zusammengehören könnten und welche getrennt abgeklärt werden müssen.</t>
  </si>
  <si>
    <t xml:space="preserve">Mehrere Symptome, Ereignisse und Zeitbezüge sowie mehrdeutige Beziehungen; besonders hoher fachlicher Recherche- und Prüfaufwand.</t>
  </si>
  <si>
    <t xml:space="preserve">Zusammenhänge mehrerer Beschwerden zu klären ist Differenzialdiagnostik.</t>
  </si>
  <si>
    <t xml:space="preserve">U004</t>
  </si>
  <si>
    <t xml:space="preserve">M1</t>
  </si>
  <si>
    <t xml:space="preserve">Gesundheitsfremde Frage abweisen</t>
  </si>
  <si>
    <t xml:space="preserve">Als Nutzer mit einer gesundheitsfremden Frage möchte ich eine kurze Erklärung des Aufgabenbereichs erhalten, damit ich weiß, wofür der Chatbot zuständig ist.</t>
  </si>
  <si>
    <t xml:space="preserve">Einfacher Intent und feste Antwort; wenig Recherche, sofern das Labelset bereits vereinbart ist.</t>
  </si>
  <si>
    <t xml:space="preserve">Erlaubt</t>
  </si>
  <si>
    <t xml:space="preserve">U005</t>
  </si>
  <si>
    <t xml:space="preserve">M2</t>
  </si>
  <si>
    <t xml:space="preserve">Unzulässige Datenabfrage verhindern</t>
  </si>
  <si>
    <t xml:space="preserve">Als berechtigter Nutzer möchte ich, dass unzulässige Abfragen und Zugriffe auf fremde Daten blockiert werden, damit meine Gesundheitsdaten geschützt bleiben.</t>
  </si>
  <si>
    <t xml:space="preserve">Berechtigungen, Sitzungsisolation und Angriffstests über mehrere Komponenten; zusätzlicher Datenschutz- und Sicherheitsklärungsbedarf.</t>
  </si>
  <si>
    <t xml:space="preserve">U006</t>
  </si>
  <si>
    <t xml:space="preserve">Eigene Daten analysieren lassen</t>
  </si>
  <si>
    <t xml:space="preserve">Als Nutzer möchte ich meine eigenen Gesundheits- und Alltagsdaten zwischen gewählten Zeiträumen vergleichen und verständlich erklärt bekommen. Verwendete Werte, Einheiten, Zeitpunkte und Quellen sowie fehlende Daten sollen sichtbar sein.</t>
  </si>
  <si>
    <t xml:space="preserve">Zeitraumvergleich war enthalten. Präzisiert um Transparenz und individuelle Werteerklärung; Referenzbereiche nur aus geeigneter Quelle und mit Kontext, keine Diagnose.</t>
  </si>
  <si>
    <t xml:space="preserve">Umgebaut nach D08: Zeitraumvergleich, Kennzahlen, Datenlücken und Quellen ja. Keine Referenzbereiche, keine Bewertung als normal/auffällig, keine Diagnose.</t>
  </si>
  <si>
    <t xml:space="preserve">U007</t>
  </si>
  <si>
    <t xml:space="preserve">Eigene Daten unverändert abrufen</t>
  </si>
  <si>
    <t xml:space="preserve">Als Nutzer möchte ich meine eigenen vorhandenen Daten gezielt mit Wert, Einheit, Zeitpunkt und Quelle anzeigen lassen, damit ich ihre Herkunft ohne zusätzliche Interpretation nachvollziehen kann.</t>
  </si>
  <si>
    <t xml:space="preserve">Quellennachweis ist Teil des Datenabrufs; keine doppelte Transparenz-Story erforderlich.</t>
  </si>
  <si>
    <t xml:space="preserve">U008</t>
  </si>
  <si>
    <t xml:space="preserve">Allgemeine Vorsorge-Information</t>
  </si>
  <si>
    <t xml:space="preserve">Als Nutzer möchte ich allgemeine Informationen zu Vorsorgeangeboten (z. B. Check-up) erhalten, damit ich mich informiert an meine Arztpraxis wenden kann.</t>
  </si>
  <si>
    <t xml:space="preserve">Hoher Leitlinien- und Aktualitätsaufwand; Unterscheidung von Vorsorge, Beschwerden und diagnostischer Abklärung.</t>
  </si>
  <si>
    <t xml:space="preserve">Umgebaut nach D08: nur allgemeine Information, keine individuelle Aussage, was eine Person abklären lassen sollte.</t>
  </si>
  <si>
    <t xml:space="preserve">U009</t>
  </si>
  <si>
    <t xml:space="preserve">Allgemeine Gesundheitsinformation erklären</t>
  </si>
  <si>
    <t xml:space="preserve">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</si>
  <si>
    <t xml:space="preserve">U009 bündelt allgemeine Fragen, Lifestyle-Grundlagen sowie kurze, verständliche Antworten mit erklärten Fachbegriffen. Persönliche Datenanalysen gehören zu U006; ausführliche Details auf Nachfrage. UP bleiben 5, da Antwortqualität zum bisherigen Umfang gehört.</t>
  </si>
  <si>
    <t xml:space="preserve">U010</t>
  </si>
  <si>
    <t xml:space="preserve">Unvollständige Anfrage gezielt klären</t>
  </si>
  <si>
    <t xml:space="preserve">Als Nutzer mit einer unklaren oder unvollständigen Anfrage möchte ich eine gezielte Rückfrage erhalten, damit mein Anliegen richtig verstanden wird.</t>
  </si>
  <si>
    <t xml:space="preserve">Zustandsverwaltung und sinnvolle Rückfrageauswahl mit fachlicher Abstimmung.</t>
  </si>
  <si>
    <t xml:space="preserve">U011</t>
  </si>
  <si>
    <t xml:space="preserve">Fehlende oder veraltete Daten erkennen</t>
  </si>
  <si>
    <t xml:space="preserve">Als Nutzer möchte ich erfahren, wenn Daten fehlen, veraltet oder technisch nicht verfügbar sind, damit ich die Grenzen einer Anzeige oder Analyse verstehe.</t>
  </si>
  <si>
    <t xml:space="preserve">Datenzustände und Fehlermeldungen sind gut eingrenzbar; Definition von Aktualität verlangt etwas Recherche.</t>
  </si>
  <si>
    <t xml:space="preserve">U012</t>
  </si>
  <si>
    <t xml:space="preserve">Eigene Angaben im Dialog korrigieren</t>
  </si>
  <si>
    <t xml:space="preserve">Als Nutzer möchte ich eine falsch verstandene Angabe korrigieren können, damit die weitere Antwort auf dem richtigen Gesprächskontext beruht.</t>
  </si>
  <si>
    <t xml:space="preserve">Gezielte Zustandsänderung und erneutes Routing; wenig externe Recherche, aber klare Regeln für Datenherkunft.</t>
  </si>
  <si>
    <t xml:space="preserve">U013</t>
  </si>
  <si>
    <t xml:space="preserve">Mehrere Anliegen in einer Nachricht trennen</t>
  </si>
  <si>
    <t xml:space="preserve">Als Nutzer mit mehreren Anliegen möchte ich, dass der Chatbot die Anliegen getrennt behandelt und erkannte dringliche Warnzeichen priorisiert, damit eine Notfallinformation nicht durch andere Fragen verzögert wird.</t>
  </si>
  <si>
    <t xml:space="preserve">Mehrfachanliegen bleiben der Schwerpunkt. Warnzeichen haben Vorrang; Zusammenspiel mit U001 fachlich prüfen.</t>
  </si>
  <si>
    <t xml:space="preserve">Umgebaut nach D08: Mehrfachanliegen trennen. Enthält ein Anliegen ein Warnzeichen-Stichwort, steht der feste Notfallhinweis aus U001 zuerst. Keine Dringlichkeitsrangfolge.</t>
  </si>
  <si>
    <t xml:space="preserve">U014</t>
  </si>
  <si>
    <t xml:space="preserve">Arztzusammenfassung als PDF</t>
  </si>
  <si>
    <t xml:space="preserve">Als Nutzer möchte ich eine Vorschau meiner berichteten Beschwerden, ihrer Dauer und ausgewählter eigener Daten prüfen und als PDF herunterladen, damit ich diese beim Arzttermin strukturiert vorlegen kann.</t>
  </si>
  <si>
    <t xml:space="preserve">Ergänzung</t>
  </si>
  <si>
    <t xml:space="preserve">Zwei Vorschläge zusammengeführt. M3 statt M2, da strukturierter Symptomdialog benötigt wird. Selbstauskunft, Datenquellen und Chatbot-Hinweise unterscheiden; keine Diagnose oder automatische Übermittlung.</t>
  </si>
  <si>
    <t xml:space="preserve">Umgebaut nach D08: nur Selbstauskunft und eigene Daten mit Quelle. Keine Chatbot-Einschätzung im PDF, keine automatische Übermittlung.</t>
  </si>
  <si>
    <t xml:space="preserve">U015</t>
  </si>
  <si>
    <t xml:space="preserve">Antworten bewerten</t>
  </si>
  <si>
    <t xml:space="preserve">Als Nutzer möchte ich Antworten positiv oder negativ bewerten und optional begründen, damit das Projektteam Fehler untersuchen und Verbesserungen gezielt prüfen kann.</t>
  </si>
  <si>
    <t xml:space="preserve">Feedback wird gesammelt und geprüft. Es löst weder automatisches Training noch ungeprüfte Promptänderungen aus; nur erforderlichen Kontext speichern.</t>
  </si>
  <si>
    <t xml:space="preserve">U016</t>
  </si>
  <si>
    <t xml:space="preserve">An Datenaktualisierung erinnern</t>
  </si>
  <si>
    <t xml:space="preserve">Als Nutzer möchte ich freiwillige Erinnerungen für selbst gewählte Messdaten aktivieren, ändern und abschalten können, damit ich fehlende oder ältere Angaben bei Bedarf ergänze.</t>
  </si>
  <si>
    <t xml:space="preserve">Optional</t>
  </si>
  <si>
    <t xml:space="preserve">Zunächst Erinnerungen innerhalb der App. Push, E-Mail und medizinisch festgelegte Messintervalle sind nicht enthalten. Aktualität garantiert keine präzise Diagnose.</t>
  </si>
  <si>
    <t xml:space="preserve">U017</t>
  </si>
  <si>
    <t xml:space="preserve">Deutsch und Englisch wählen</t>
  </si>
  <si>
    <t xml:space="preserve">Als Nutzer möchte ich Deutsch oder Englisch für Eingaben und Antworten wählen können, damit ich die unterstützten Funktionen in einer verständlichen Sprache nutzen kann.</t>
  </si>
  <si>
    <t xml:space="preserve">Zusätzlich zur deutschsprachigen Basis. Rückfragen, Fehlermeldungen und fachliche Texte in beiden Sprachen prüfen; keine unbegrenzte Sprachunterstützung oder Sicherheitsgarantie.</t>
  </si>
  <si>
    <t xml:space="preserve">U018</t>
  </si>
  <si>
    <t xml:space="preserve">Medikamente als Kontext angeben</t>
  </si>
  <si>
    <t xml:space="preserve">Als Nutzer möchte ich aktuell eingenommene Medikamente als Selbstauskunft angeben können, damit diese bei Rückfragen und der Vorbereitung einer ärztlichen oder pharmazeutischen Abklärung berücksichtigt werden.</t>
  </si>
  <si>
    <t xml:space="preserve">Eingabe bestätigt nicht die Richtigkeit der Medikation. Keine automatische Wechselwirkungsprüfung, Therapieänderung oder Kausaldiagnose. Dafür wären zusätzliche geeignete Arzneimittelquellen und fachliche Validierung nötig.</t>
  </si>
  <si>
    <t xml:space="preserve">Medikation als Kontext ohne Auswertung bringt keinen Nutzen; Auswertung wäre Medizinprodukt-Funktion.</t>
  </si>
  <si>
    <t xml:space="preserve">U019</t>
  </si>
  <si>
    <t xml:space="preserve">Eigenes Gesundheitsprofil pflegen</t>
  </si>
  <si>
    <t xml:space="preserve">Als Nutzer möchte ich ausgewählte Angaben wie Allergien, Vorerkrankungen und relevante Vorgeschichte in meinem Profil ansehen und als Selbstauskunft ergänzen oder korrigieren, damit der freigegebene Kontext berücksichtigt werden kann.</t>
  </si>
  <si>
    <t xml:space="preserve">Erweitert den bisherigen lesenden Umfang: eigene Angaben getrennt von importierten Befunden speichern. Keine ungeprüfte Änderung fremder FHIR-Daten; Herkunft und Aktualität kennzeichnen.</t>
  </si>
  <si>
    <t xml:space="preserve">Umgebaut nach D08: Profil wird gespeichert, angezeigt und für das PDF genutzt, aber nicht zur Bewertung von Werten oder Beschwerden.</t>
  </si>
  <si>
    <t xml:space="preserve">U020</t>
  </si>
  <si>
    <t xml:space="preserve">Symptome im Verlauf dokumentieren</t>
  </si>
  <si>
    <t xml:space="preserve">Als Nutzer möchte ich Beschwerden mit Zeitpunkt, Dauer und selbst eingeschätzter Stärke erfassen und im Verlauf ansehen, damit ich Veränderungen nachvollziehen und beim Arzttermin beschreiben kann.</t>
  </si>
  <si>
    <t xml:space="preserve">Neue dauerhafte Speicherung und Verlaufseingabe, daher eigenständig neben U006. Korrektur und Löschung vorsehen; ein Verlauf belegt keine Ursache.</t>
  </si>
  <si>
    <t xml:space="preserve">U021</t>
  </si>
  <si>
    <t xml:space="preserve">Widersprüchliche Angaben klären</t>
  </si>
  <si>
    <t xml:space="preserve">Als Nutzer möchte ich bei widersprüchlichen Angaben zu Zeitpunkt, Wert, Person oder Selbstauskunft gezielt gefragt werden, damit bestätigte und weiterhin unklare Informationen unterscheidbar bleiben.</t>
  </si>
  <si>
    <t xml:space="preserve">U010 behandelt fehlende Angaben, U012 aktive Nutzerkorrekturen. Diese Story ergänzt proaktive Konflikterkennung. Unterschiedliche Messzeiten sind nicht automatisch ein Widerspruch; Befunde nicht still überschreiben.</t>
  </si>
  <si>
    <t xml:space="preserve">U022</t>
  </si>
  <si>
    <t xml:space="preserve">Festgelegte FHIR-JSON-Daten importieren</t>
  </si>
  <si>
    <t xml:space="preserve">Als Nutzer möchte ich eigene Daten aus einer unterstützten FHIR-JSON-Datei importieren und vor Übernahme prüfen können, damit weitere Daten mit nachvollziehbarer Herkunft verfügbar werden.</t>
  </si>
  <si>
    <t xml:space="preserve">Für den Prototyp nur synthetische Dateien, vereinbarte FHIR-Version und Ressourcen. Größen-, Struktur-, Patienten- und Dublettenprüfung. Kein beliebiges JSON-Mapping, PDF/OCR oder automatischer Wearable-Liveimport. 13 UP statt vorgeschlagener 8 wegen Importvalidierung und Speicherung.</t>
  </si>
  <si>
    <t xml:space="preserve">U023</t>
  </si>
  <si>
    <t xml:space="preserve">Datennutzung je Quelle steuern</t>
  </si>
  <si>
    <t xml:space="preserve">Als Nutzer möchte ich sehen, welche Datenquellen für welchen Zweck genutzt werden, und eine darauf beruhende Freigabe erteilen oder widerrufen können, damit ich die weitere Nutzung kontrollieren kann.</t>
  </si>
  <si>
    <t xml:space="preserve">Voraussetzung für Speicherung</t>
  </si>
  <si>
    <t xml:space="preserve">Aus Sammelstory getrennt. Widerruf sperrt die betreffende weitere Verarbeitung; er ist nicht dasselbe wie Löschung. Rechtsgrundlage, Zwecke und Projektumfang mit Betreuung/Datenschutz klären. Keine pauschale Zusage der DSGVO-Konformität.</t>
  </si>
  <si>
    <t xml:space="preserve">U024</t>
  </si>
  <si>
    <t xml:space="preserve">Gespeicherte eigene Daten löschen</t>
  </si>
  <si>
    <t xml:space="preserve">Als Nutzer möchte ich meine in der Anwendung gespeicherten Chats, Selbstauskünfte und importierten Daten auswählen und deren Löschung bestätigen können, damit ich die gespeicherten Informationen kontrollieren kann.</t>
  </si>
  <si>
    <t xml:space="preserve">Aus Sammelstory getrennt. Umfang, Fristen, Protokolle und Sicherungskopien klären. Keine Zusage, fremde Originalakten oder alle externen Kopien sofort und ausnahmslos löschen zu können.</t>
  </si>
  <si>
    <t xml:space="preserve">U025</t>
  </si>
  <si>
    <t xml:space="preserve">Gesprächskontext innerhalb eines Chats</t>
  </si>
  <si>
    <t xml:space="preserve">Als Nutzer möchte ich, dass bestätigte Angaben innerhalb meines aktuellen Chats berücksichtigt werden, damit ich mich bei Folgefragen nicht wiederholen muss.</t>
  </si>
  <si>
    <t xml:space="preserve">Sitzungsgebundener Kontext, keine chatübergreifende Erinnerung. Neues Gespräch setzt Kontext zurück; begrenztes Kontextfenster und Korrekturen mit U012 abstimmen.</t>
  </si>
  <si>
    <t xml:space="preserve">U026</t>
  </si>
  <si>
    <t xml:space="preserve">Bearbeitungsstatus und Fehler erkennen</t>
  </si>
  <si>
    <t xml:space="preserve">Als Nutzer möchte ich nach dem Absenden einen Bearbeitungsstatus sehen und bei Zeitüberschreitung eine verständliche Fehlermeldung mit Wiederholungsmöglichkeit erhalten, damit ich weiß, ob meine Anfrage bearbeitet wird.</t>
  </si>
  <si>
    <t xml:space="preserve">Nutzerziel ergänzt E002/E003, keine zweite Task-Schätzung. Timeout konfigurierbar; keine feste Antwortzeit ohne Messung versprechen.</t>
  </si>
  <si>
    <t xml:space="preserve">U027</t>
  </si>
  <si>
    <t xml:space="preserve">Chat-Verarbeitung freigeben oder ablehnen</t>
  </si>
  <si>
    <t xml:space="preserve">Als Nutzer möchte ich vor der Verarbeitung meiner gesundheitsbezogenen Eingabe ausdrücklich zustimmen, ablehnen oder meine Zustimmung später widerrufen können, damit ich die weitere Chat-Verarbeitung kontrolliere.</t>
  </si>
  <si>
    <t xml:space="preserve">M1: Chat-Einwilligung mit serverseitiger Prüfung vor Modellaufruf. U023 bleibt quellenbezogene Steuerung in M2; U024 bleibt Löschung. Prototyp mit synthetischen Daten, keine Rechtskonformitätszusage.</t>
  </si>
  <si>
    <t xml:space="preserve">U028</t>
  </si>
  <si>
    <t xml:space="preserve">KI und Grenzen sichtbar erkennen</t>
  </si>
  <si>
    <t xml:space="preserve">Als Nutzer möchte ich vor dem Chat erfahren, dass ich mit einer KI und keinem Arzt spreche, und die KI-Kennzeichnung dauerhaft sehen, damit ich die Herkunft und Grenzen der Antworten verstehe.</t>
  </si>
  <si>
    <t xml:space="preserve">Versionierter Hinweis vor Zustimmung; dauerhafte Kennzeichnung im Header. Kein Ersatz für medizinische Versorgung.</t>
  </si>
  <si>
    <t xml:space="preserve">U029</t>
  </si>
  <si>
    <t xml:space="preserve">Bewegungsdaten und Trainingsziele besprechen</t>
  </si>
  <si>
    <t xml:space="preserve">Als Nutzer möchte ich meine freigegebenen Bewegungsdaten und Trainingsziele gemeinsam betrachten und allgemeine Hinweise dazu erhalten, damit ich Fragen für eine fachliche Trainingsberatung vorbereiten kann.</t>
  </si>
  <si>
    <t xml:space="preserve">Aus Trainings-/Ernährungs-Epic getrennt. Keine sichere individuelle Belastungsfreigabe oder Garantie der Zielerreichung; bekannte Erkrankungen berücksichtigen. U006 liefert die Datenanalyse.</t>
  </si>
  <si>
    <t xml:space="preserve">Umgebaut nach D08: allgemeine Bewegungs- und Lifestyle-Information zu selbst gesetzten Zielen. Kein Bezug zu Erkrankungen, keine Belastungsfreigabe.</t>
  </si>
  <si>
    <t xml:space="preserve">U030</t>
  </si>
  <si>
    <t xml:space="preserve">Ernährungsdaten und Ziele besprechen</t>
  </si>
  <si>
    <t xml:space="preserve">Als Nutzer möchte ich meine freigegebenen Ernährungsangaben und Ziele verständlich eingeordnet bekommen, damit ich allgemeine Verbesserungsmöglichkeiten und Fragen für eine Ernährungsberatung erkenne.</t>
  </si>
  <si>
    <t xml:space="preserve">Eigenständiger Daten- und Wissensbereich gegenüber Training. Keine therapeutischen Diätpläne, Dosierungen oder Erfolgsgarantien; Allergien und Vorerkrankungen als Kontext behandeln.</t>
  </si>
  <si>
    <t xml:space="preserve">Umgebaut nach D08: allgemeine Ernährungsinformation zu selbst gesetzten Zielen. Kein Bezug zu Erkrankungen, keine Diätpläne oder Dosierungen.</t>
  </si>
  <si>
    <t xml:space="preserve">U031</t>
  </si>
  <si>
    <t xml:space="preserve">Vorerkrankungen bei Abweichungen berücksichtigen</t>
  </si>
  <si>
    <t xml:space="preserve">Als Nutzer möchte ich, dass vorhandene Erkrankungen und bekannte Ausgangswerte bei der Einordnung auffälliger Daten berücksichtigt werden, ohne neue Warnzeichen zu übergehen, damit ich eine nachvollziehbare Einordnung erhalte.</t>
  </si>
  <si>
    <t xml:space="preserve">Nicht pauschal als normal einstufen. Neu auftretende oder veränderte Angaben separat prüfen, Unsicherheit benennen. Benötigt U006/U007 und die Versorgungsregeln aus M3.</t>
  </si>
  <si>
    <t xml:space="preserve">Auffällige Werte einer Person mit Vorerkrankungen einzuordnen ist Befundbewertung.</t>
  </si>
  <si>
    <t xml:space="preserve">U032</t>
  </si>
  <si>
    <t xml:space="preserve">Befunddokument auslesen</t>
  </si>
  <si>
    <t xml:space="preserve">Als Nutzer möchte ich ein Foto oder PDF eines eigenen Befunds hochladen und die ausgelesenen Werte prüfen und bestätigen, damit sie wie importierte Daten mit Herkunft verfügbar sind.</t>
  </si>
  <si>
    <t xml:space="preserve">Neu (Vorschlag). Nur Abschreiben von Wert, Einheit und Datum; Bestätigung durch Nutzer ist Pflicht. Keine Bewertung, keine medizinischen Bilder (Haut, Röntgen, Wunden). Nur synthetische Befunde. Bildfähigkeit des Modells nach D03.</t>
  </si>
  <si>
    <t xml:space="preserve">Neu</t>
  </si>
  <si>
    <t xml:space="preserve">Optional für Datei- und Bildanalyse; nur Auslesen mit Bestätigung.</t>
  </si>
  <si>
    <t xml:space="preserve">U033</t>
  </si>
  <si>
    <t xml:space="preserve">Eigene Daten auskunft und exportieren</t>
  </si>
  <si>
    <t xml:space="preserve">Als Nutzer möchte ich sehen, welche Daten VitaSync über mich gespeichert hat, und sie in einem gängigen Format herunterladen, damit ich meine Rechte auf Auskunft und Datenübertragbarkeit nutzen kann.</t>
  </si>
  <si>
    <t xml:space="preserve">Neu nach D09 (Art. 15 und 20 DSGVO). Export als JSON, Gesundheitsdaten wo möglich als FHIR. Nur eigene Daten.</t>
  </si>
  <si>
    <t xml:space="preserve">Pflicht aus DSGVO; fehlte im Backlog.</t>
  </si>
  <si>
    <t xml:space="preserve">VitaSync – ausführbare Arbeitspakete</t>
  </si>
  <si>
    <t xml:space="preserve">Nach Reihenfolge beginnen; Abhängigkeiten und Entscheidungen prüfen. Alle Tasks starten offen. Vollständige Arbeitsaufträge stehen unter Briefings.</t>
  </si>
  <si>
    <t xml:space="preserve">Task-ID</t>
  </si>
  <si>
    <t xml:space="preserve">Story-ID</t>
  </si>
  <si>
    <t xml:space="preserve">Reihenfolge</t>
  </si>
  <si>
    <t xml:space="preserve">Task</t>
  </si>
  <si>
    <t xml:space="preserve">Art</t>
  </si>
  <si>
    <t xml:space="preserve">Task Points</t>
  </si>
  <si>
    <t xml:space="preserve">Voraussetzungen</t>
  </si>
  <si>
    <t xml:space="preserve">Entscheidungen</t>
  </si>
  <si>
    <t xml:space="preserve">Status</t>
  </si>
  <si>
    <t xml:space="preserve">Verantwortlich</t>
  </si>
  <si>
    <t xml:space="preserve">Bearbeiter</t>
  </si>
  <si>
    <t xml:space="preserve">KI-Einsatz</t>
  </si>
  <si>
    <t xml:space="preserve">Modul (Vorschlag)</t>
  </si>
  <si>
    <t xml:space="preserve">F001</t>
  </si>
  <si>
    <t xml:space="preserve">BASIS</t>
  </si>
  <si>
    <t xml:space="preserve">Entscheidungen und Schnittstellen abstimmen</t>
  </si>
  <si>
    <t xml:space="preserve">Research</t>
  </si>
  <si>
    <t xml:space="preserve">D01, D03</t>
  </si>
  <si>
    <t xml:space="preserve">Offen</t>
  </si>
  <si>
    <t xml:space="preserve">Unterstützend</t>
  </si>
  <si>
    <t xml:space="preserve">docs/decisions</t>
  </si>
  <si>
    <t xml:space="preserve">F002</t>
  </si>
  <si>
    <t xml:space="preserve">Projektstart reproduzierbar machen</t>
  </si>
  <si>
    <t xml:space="preserve">Code</t>
  </si>
  <si>
    <t xml:space="preserve">Nach menschlicher Freigabe</t>
  </si>
  <si>
    <t xml:space="preserve">infra, apps</t>
  </si>
  <si>
    <t xml:space="preserve">F003</t>
  </si>
  <si>
    <t xml:space="preserve">Chat-API-Vertrag festlegen</t>
  </si>
  <si>
    <t xml:space="preserve">contracts/api</t>
  </si>
  <si>
    <t xml:space="preserve">F004</t>
  </si>
  <si>
    <t xml:space="preserve">Testautomatisierung einrichten</t>
  </si>
  <si>
    <t xml:space="preserve">.github, apps/*/tests</t>
  </si>
  <si>
    <t xml:space="preserve">F005</t>
  </si>
  <si>
    <t xml:space="preserve">Chat-UX für Kernzustände skizzieren</t>
  </si>
  <si>
    <t xml:space="preserve">UX</t>
  </si>
  <si>
    <t xml:space="preserve">apps/web</t>
  </si>
  <si>
    <t xml:space="preserve">F006</t>
  </si>
  <si>
    <t xml:space="preserve">Chatoberfläche mit Testantwort bauen</t>
  </si>
  <si>
    <t xml:space="preserve">F005, F002</t>
  </si>
  <si>
    <t xml:space="preserve">F007</t>
  </si>
  <si>
    <t xml:space="preserve">Backend mit fester Antwort anbinden</t>
  </si>
  <si>
    <t xml:space="preserve">F003, F006</t>
  </si>
  <si>
    <t xml:space="preserve">api, features/chat</t>
  </si>
  <si>
    <t xml:space="preserve">F008</t>
  </si>
  <si>
    <t xml:space="preserve">Lokalen Modelladapter isolieren</t>
  </si>
  <si>
    <t xml:space="preserve">D03</t>
  </si>
  <si>
    <t xml:space="preserve">adapters/llm</t>
  </si>
  <si>
    <t xml:space="preserve">F009</t>
  </si>
  <si>
    <t xml:space="preserve">Synthetische Testdaten und Loggrenzen festlegen</t>
  </si>
  <si>
    <t xml:space="preserve">D05</t>
  </si>
  <si>
    <t xml:space="preserve">data/synthetic</t>
  </si>
  <si>
    <t xml:space="preserve">T-U004-01</t>
  </si>
  <si>
    <t xml:space="preserve">Routing-Beispiele festlegen</t>
  </si>
  <si>
    <t xml:space="preserve">F007, F008</t>
  </si>
  <si>
    <t xml:space="preserve">knowledge, evals</t>
  </si>
  <si>
    <t xml:space="preserve">T-U004-02</t>
  </si>
  <si>
    <t xml:space="preserve">Intent-Validator implementieren</t>
  </si>
  <si>
    <t xml:space="preserve">features/recognition</t>
  </si>
  <si>
    <t xml:space="preserve">T-U004-03</t>
  </si>
  <si>
    <t xml:space="preserve">Fachfremde Anfrage beantworten</t>
  </si>
  <si>
    <t xml:space="preserve">T-U009-01</t>
  </si>
  <si>
    <t xml:space="preserve">Kleines Wissenspaket kuratieren</t>
  </si>
  <si>
    <t xml:space="preserve">F007, T-U004-03, F008</t>
  </si>
  <si>
    <t xml:space="preserve">D04</t>
  </si>
  <si>
    <t xml:space="preserve">knowledge</t>
  </si>
  <si>
    <t xml:space="preserve">T-U009-02</t>
  </si>
  <si>
    <t xml:space="preserve">Wissenseintrag auswählen</t>
  </si>
  <si>
    <t xml:space="preserve">features/guidance</t>
  </si>
  <si>
    <t xml:space="preserve">T-U009-03</t>
  </si>
  <si>
    <t xml:space="preserve">Verständliche Antwort formatieren</t>
  </si>
  <si>
    <t xml:space="preserve">T-U009-04</t>
  </si>
  <si>
    <t xml:space="preserve">Antwortdarstellung integrieren</t>
  </si>
  <si>
    <t xml:space="preserve">T-U010-01</t>
  </si>
  <si>
    <t xml:space="preserve">Pflichtangaben für eine Rückfrage bestimmen</t>
  </si>
  <si>
    <t xml:space="preserve">features/chat</t>
  </si>
  <si>
    <t xml:space="preserve">T-U010-02</t>
  </si>
  <si>
    <t xml:space="preserve">Offene Rückfrage verwalten</t>
  </si>
  <si>
    <t xml:space="preserve">T-U010-03</t>
  </si>
  <si>
    <t xml:space="preserve">Rückfrage im Chat verbinden</t>
  </si>
  <si>
    <t xml:space="preserve">T-U026-01</t>
  </si>
  <si>
    <t xml:space="preserve">Ladezustand anzeigen</t>
  </si>
  <si>
    <t xml:space="preserve">T-U026-02</t>
  </si>
  <si>
    <t xml:space="preserve">Timeout und Abbruch umsetzen</t>
  </si>
  <si>
    <t xml:space="preserve">T-U026-03</t>
  </si>
  <si>
    <t xml:space="preserve">Wiederholen ohne Duplikat anbieten</t>
  </si>
  <si>
    <t xml:space="preserve">T-U027-01</t>
  </si>
  <si>
    <t xml:space="preserve">Einwilligungsablauf spezifizieren</t>
  </si>
  <si>
    <t xml:space="preserve">F003, F009</t>
  </si>
  <si>
    <t xml:space="preserve">features/consent</t>
  </si>
  <si>
    <t xml:space="preserve">T-U027-02</t>
  </si>
  <si>
    <t xml:space="preserve">Zustimmung und Ablehnung anzeigen</t>
  </si>
  <si>
    <t xml:space="preserve">T-U027-03</t>
  </si>
  <si>
    <t xml:space="preserve">Serverseitige Freigabe prüfen</t>
  </si>
  <si>
    <t xml:space="preserve">Test</t>
  </si>
  <si>
    <t xml:space="preserve">T-U027-04</t>
  </si>
  <si>
    <t xml:space="preserve">Widerruf mit laufender Anfrage behandeln</t>
  </si>
  <si>
    <t xml:space="preserve">F010</t>
  </si>
  <si>
    <t xml:space="preserve">Einwilligungsgeprüfte Modellroute verbinden</t>
  </si>
  <si>
    <t xml:space="preserve">F008, F009, T-U027-04</t>
  </si>
  <si>
    <t xml:space="preserve">features/chat, security</t>
  </si>
  <si>
    <t xml:space="preserve">T-U028-01</t>
  </si>
  <si>
    <t xml:space="preserve">KI-Hinweis abstimmen</t>
  </si>
  <si>
    <t xml:space="preserve">F005, F009</t>
  </si>
  <si>
    <t xml:space="preserve">T-U028-02</t>
  </si>
  <si>
    <t xml:space="preserve">Dauerhafte KI-Kennzeichnung einbauen</t>
  </si>
  <si>
    <t xml:space="preserve">F015</t>
  </si>
  <si>
    <t xml:space="preserve">M1-Abnahmelauf dokumentieren</t>
  </si>
  <si>
    <t xml:space="preserve">F010, F004, T-U004-03, T-U009-04, T-U010-03, T-U026-03, T-U028-02</t>
  </si>
  <si>
    <t xml:space="preserve">evals</t>
  </si>
  <si>
    <t xml:space="preserve">T-U017-01</t>
  </si>
  <si>
    <t xml:space="preserve">Deutsch-Englisch-Textkatalog erstellen</t>
  </si>
  <si>
    <t xml:space="preserve">F007, T-U009-04, T-U010-03, T-U026-03, T-U028-02</t>
  </si>
  <si>
    <t xml:space="preserve">D07</t>
  </si>
  <si>
    <t xml:space="preserve">T-U017-02</t>
  </si>
  <si>
    <t xml:space="preserve">Sprachwahl durchgängig übergeben</t>
  </si>
  <si>
    <t xml:space="preserve">T-U017-03</t>
  </si>
  <si>
    <t xml:space="preserve">Zweisprachige Kernabläufe prüfen</t>
  </si>
  <si>
    <t xml:space="preserve">F011</t>
  </si>
  <si>
    <t xml:space="preserve">Zwei Testkonten und Sitzungsidentität einrichten</t>
  </si>
  <si>
    <t xml:space="preserve">security</t>
  </si>
  <si>
    <t xml:space="preserve">F012</t>
  </si>
  <si>
    <t xml:space="preserve">FHIR-Datenvertrag und Fixtures festlegen</t>
  </si>
  <si>
    <t xml:space="preserve">D02</t>
  </si>
  <si>
    <t xml:space="preserve">contracts/fhir, data/synthetic</t>
  </si>
  <si>
    <t xml:space="preserve">F013</t>
  </si>
  <si>
    <t xml:space="preserve">Speicherschnittstelle für eigene App-Daten bereitstellen</t>
  </si>
  <si>
    <t xml:space="preserve">D06</t>
  </si>
  <si>
    <t xml:space="preserve">adapters/db</t>
  </si>
  <si>
    <t xml:space="preserve">T-U005-01</t>
  </si>
  <si>
    <t xml:space="preserve">Berechtigungsmatrix definieren</t>
  </si>
  <si>
    <t xml:space="preserve">F007, F011, F012</t>
  </si>
  <si>
    <t xml:space="preserve">T-U005-02</t>
  </si>
  <si>
    <t xml:space="preserve">Eigentumsprüfung im Datenzugriff einbauen</t>
  </si>
  <si>
    <t xml:space="preserve">T-U005-03</t>
  </si>
  <si>
    <t xml:space="preserve">Daten als nicht vertrauenswürdigen Inhalt behandeln</t>
  </si>
  <si>
    <t xml:space="preserve">T-U005-04</t>
  </si>
  <si>
    <t xml:space="preserve">Zugriffsfehler sicher darstellen</t>
  </si>
  <si>
    <t xml:space="preserve">T-U023-01</t>
  </si>
  <si>
    <t xml:space="preserve">Quellenfreigabe-Datenmodell festlegen</t>
  </si>
  <si>
    <t xml:space="preserve">F007, T-U027-04, T-U005-04, F011, F012, F013, F013</t>
  </si>
  <si>
    <t xml:space="preserve">T-U023-02</t>
  </si>
  <si>
    <t xml:space="preserve">Quellenfreigaben speichern und prüfen</t>
  </si>
  <si>
    <t xml:space="preserve">T-U023-03</t>
  </si>
  <si>
    <t xml:space="preserve">Quellensteuerung anzeigen</t>
  </si>
  <si>
    <t xml:space="preserve">T-U023-04</t>
  </si>
  <si>
    <t xml:space="preserve">Widerruf in Datenpfaden berücksichtigen</t>
  </si>
  <si>
    <t xml:space="preserve">T-U007-01</t>
  </si>
  <si>
    <t xml:space="preserve">Messwert-Abfragevertrag festlegen</t>
  </si>
  <si>
    <t xml:space="preserve">F007, T-U005-04, T-U023-04, F011, F012</t>
  </si>
  <si>
    <t xml:space="preserve">features/health_data</t>
  </si>
  <si>
    <t xml:space="preserve">T-U007-02</t>
  </si>
  <si>
    <t xml:space="preserve">FHIR-Testadapter für eine Ressource schreiben</t>
  </si>
  <si>
    <t xml:space="preserve">T-U007-03</t>
  </si>
  <si>
    <t xml:space="preserve">Eigenabruf-Endpunkt anbinden</t>
  </si>
  <si>
    <t xml:space="preserve">T-U007-04</t>
  </si>
  <si>
    <t xml:space="preserve">Werte mit Herkunft anzeigen</t>
  </si>
  <si>
    <t xml:space="preserve">T-U011-01</t>
  </si>
  <si>
    <t xml:space="preserve">Datenzustände festlegen</t>
  </si>
  <si>
    <t xml:space="preserve">F007, T-U007-04, F011, F012</t>
  </si>
  <si>
    <t xml:space="preserve">T-U011-02</t>
  </si>
  <si>
    <t xml:space="preserve">Datenzustand berechnen</t>
  </si>
  <si>
    <t xml:space="preserve">T-U011-03</t>
  </si>
  <si>
    <t xml:space="preserve">Grenzen im Chat sichtbar machen</t>
  </si>
  <si>
    <t xml:space="preserve">T-U024-01</t>
  </si>
  <si>
    <t xml:space="preserve">Löschumfang und Aufbewahrung klären</t>
  </si>
  <si>
    <t xml:space="preserve">F007, T-U023-04, F011, F012, F013</t>
  </si>
  <si>
    <t xml:space="preserve">T-U024-02</t>
  </si>
  <si>
    <t xml:space="preserve">Bestätigungsablauf für Löschung bauen</t>
  </si>
  <si>
    <t xml:space="preserve">T-U024-03</t>
  </si>
  <si>
    <t xml:space="preserve">Löschauftrag serverseitig ausführen</t>
  </si>
  <si>
    <t xml:space="preserve">T-U024-04</t>
  </si>
  <si>
    <t xml:space="preserve">Löschung nachweisen und UI aktualisieren</t>
  </si>
  <si>
    <t xml:space="preserve">T-U019-01</t>
  </si>
  <si>
    <t xml:space="preserve">Profilfelder und Herkunft definieren</t>
  </si>
  <si>
    <t xml:space="preserve">F007, T-U024-04, F011, F012, F013</t>
  </si>
  <si>
    <t xml:space="preserve">Verwendungszweck begrenzt.</t>
  </si>
  <si>
    <t xml:space="preserve">T-U019-02</t>
  </si>
  <si>
    <t xml:space="preserve">Eigenes Profil speichern</t>
  </si>
  <si>
    <t xml:space="preserve">T-U019-03</t>
  </si>
  <si>
    <t xml:space="preserve">Profilformular verbinden</t>
  </si>
  <si>
    <t xml:space="preserve">T-U019-04</t>
  </si>
  <si>
    <t xml:space="preserve">Profil in Freigabe und Löschung einbinden</t>
  </si>
  <si>
    <t xml:space="preserve">Profil nicht mehr im Modellkontext.</t>
  </si>
  <si>
    <t xml:space="preserve">T-U022-01</t>
  </si>
  <si>
    <t xml:space="preserve">Importumfang und Limits festlegen</t>
  </si>
  <si>
    <t xml:space="preserve">F007, T-U024-04, T-U007-04, F011, F012, F013</t>
  </si>
  <si>
    <t xml:space="preserve">features/health_data, adapters/fhir</t>
  </si>
  <si>
    <t xml:space="preserve">T-U022-02</t>
  </si>
  <si>
    <t xml:space="preserve">Dateiupload validieren</t>
  </si>
  <si>
    <t xml:space="preserve">T-U022-03</t>
  </si>
  <si>
    <t xml:space="preserve">Patientenbezug und Dubletten prüfen</t>
  </si>
  <si>
    <t xml:space="preserve">T-U022-04</t>
  </si>
  <si>
    <t xml:space="preserve">Importvorschau erstellen</t>
  </si>
  <si>
    <t xml:space="preserve">T-U022-05</t>
  </si>
  <si>
    <t xml:space="preserve">Bestätigten Import speichern</t>
  </si>
  <si>
    <t xml:space="preserve">F014</t>
  </si>
  <si>
    <t xml:space="preserve">Fachliche Inhalts-Freigabe dokumentieren</t>
  </si>
  <si>
    <t xml:space="preserve">Auf allgemeine Inhalte begrenzt.</t>
  </si>
  <si>
    <t xml:space="preserve">T-U015-01</t>
  </si>
  <si>
    <t xml:space="preserve">Feedback-Vertrag festlegen</t>
  </si>
  <si>
    <t xml:space="preserve">F007, T-U024-04</t>
  </si>
  <si>
    <t xml:space="preserve">T-U015-02</t>
  </si>
  <si>
    <t xml:space="preserve">Feedback-Endpunkt implementieren</t>
  </si>
  <si>
    <t xml:space="preserve">T-U015-03</t>
  </si>
  <si>
    <t xml:space="preserve">Bewertung im Chat anbieten</t>
  </si>
  <si>
    <t xml:space="preserve">T-U025-01</t>
  </si>
  <si>
    <t xml:space="preserve">Sitzungskontext begrenzen</t>
  </si>
  <si>
    <t xml:space="preserve">F007, T-U010-03, F008, F010</t>
  </si>
  <si>
    <t xml:space="preserve">T-U025-02</t>
  </si>
  <si>
    <t xml:space="preserve">Kontextspeicher implementieren</t>
  </si>
  <si>
    <t xml:space="preserve">T-U025-03</t>
  </si>
  <si>
    <t xml:space="preserve">Folgefrage mit Kontext beantworten</t>
  </si>
  <si>
    <t xml:space="preserve">T-U001-01</t>
  </si>
  <si>
    <t xml:space="preserve">Warnzeichen-Stichworte und Zuständigkeiten festlegen</t>
  </si>
  <si>
    <t xml:space="preserve">F007, T-U025-03, F014</t>
  </si>
  <si>
    <t xml:space="preserve">D04, D08</t>
  </si>
  <si>
    <t xml:space="preserve">Ersetzt individuelle Dringlichkeitsregeln.</t>
  </si>
  <si>
    <t xml:space="preserve">T-U001-02</t>
  </si>
  <si>
    <t xml:space="preserve">Beschwerde-Stichworte strukturiert erkennen</t>
  </si>
  <si>
    <t xml:space="preserve">T-U001-01, F010</t>
  </si>
  <si>
    <t xml:space="preserve">Abgleich statt Klassifikation.</t>
  </si>
  <si>
    <t xml:space="preserve">T-U001-03</t>
  </si>
  <si>
    <t xml:space="preserve">Festen Notfallhinweis auslösen</t>
  </si>
  <si>
    <t xml:space="preserve">Ersetzt Regelauswertung mit Dringlichkeitsstufen.</t>
  </si>
  <si>
    <t xml:space="preserve">T-U001-04</t>
  </si>
  <si>
    <t xml:space="preserve">Notfallhinweis vor die Antwort stellen</t>
  </si>
  <si>
    <t xml:space="preserve">Kein Abbruch des Dialogs, keine Einstufung.</t>
  </si>
  <si>
    <t xml:space="preserve">T-U001-05</t>
  </si>
  <si>
    <t xml:space="preserve">Hinweisgrenzen testen</t>
  </si>
  <si>
    <t xml:space="preserve">Testziel angepasst.</t>
  </si>
  <si>
    <t xml:space="preserve">T-U012-01</t>
  </si>
  <si>
    <t xml:space="preserve">Korrekturereignis definieren</t>
  </si>
  <si>
    <t xml:space="preserve">F007, T-U025-03</t>
  </si>
  <si>
    <t xml:space="preserve">T-U012-02</t>
  </si>
  <si>
    <t xml:space="preserve">Bestätigte Korrektur anwenden</t>
  </si>
  <si>
    <t xml:space="preserve">T-U012-03</t>
  </si>
  <si>
    <t xml:space="preserve">Korrektur bestätigen lassen</t>
  </si>
  <si>
    <t xml:space="preserve">T-U013-01</t>
  </si>
  <si>
    <t xml:space="preserve">Mehrfachanliegen strukturieren</t>
  </si>
  <si>
    <t xml:space="preserve">F007, T-U001-05</t>
  </si>
  <si>
    <t xml:space="preserve">T-U013-02</t>
  </si>
  <si>
    <t xml:space="preserve">Notfallhinweis bei Mehrfachanliegen voranstellen</t>
  </si>
  <si>
    <t xml:space="preserve">Ersetzt Dringlichkeitspriorisierung.</t>
  </si>
  <si>
    <t xml:space="preserve">T-U013-03</t>
  </si>
  <si>
    <t xml:space="preserve">Getrennte Antworten darstellen</t>
  </si>
  <si>
    <t xml:space="preserve">T-U014-01</t>
  </si>
  <si>
    <t xml:space="preserve">Zusammenfassungsobjekt erstellen</t>
  </si>
  <si>
    <t xml:space="preserve">F007, T-U025-03, T-U007-04, T-U012-03</t>
  </si>
  <si>
    <t xml:space="preserve">features/summary (neu)</t>
  </si>
  <si>
    <t xml:space="preserve">Chatbot-Hinweise aus PDF entfernt.</t>
  </si>
  <si>
    <t xml:space="preserve">T-U014-02</t>
  </si>
  <si>
    <t xml:space="preserve">Vorschau und Auswahl bauen</t>
  </si>
  <si>
    <t xml:space="preserve">T-U014-03</t>
  </si>
  <si>
    <t xml:space="preserve">PDF aus bestätigter Vorschau erzeugen</t>
  </si>
  <si>
    <t xml:space="preserve">T-U014-04</t>
  </si>
  <si>
    <t xml:space="preserve">Exportzugriff und Bereinigung prüfen</t>
  </si>
  <si>
    <t xml:space="preserve">T-U021-01</t>
  </si>
  <si>
    <t xml:space="preserve">Konflikttypen begrenzen</t>
  </si>
  <si>
    <t xml:space="preserve">F007, T-U012-03, T-U007-04</t>
  </si>
  <si>
    <t xml:space="preserve">T-U021-02</t>
  </si>
  <si>
    <t xml:space="preserve">Konflikte erkennen</t>
  </si>
  <si>
    <t xml:space="preserve">T-U021-03</t>
  </si>
  <si>
    <t xml:space="preserve">Konflikt durch Rückfrage klären</t>
  </si>
  <si>
    <t xml:space="preserve">T-U006-01</t>
  </si>
  <si>
    <t xml:space="preserve">Zeitraumvergleich festlegen</t>
  </si>
  <si>
    <t xml:space="preserve">F007, T-U007-04, T-U011-03</t>
  </si>
  <si>
    <t xml:space="preserve">features/analysis</t>
  </si>
  <si>
    <t xml:space="preserve">T-U006-02</t>
  </si>
  <si>
    <t xml:space="preserve">Vergleich deterministisch berechnen</t>
  </si>
  <si>
    <t xml:space="preserve">T-U006-03</t>
  </si>
  <si>
    <t xml:space="preserve">Analysebelege zusammenstellen</t>
  </si>
  <si>
    <t xml:space="preserve">T-U006-04</t>
  </si>
  <si>
    <t xml:space="preserve">Vergleich verständlich erklären</t>
  </si>
  <si>
    <t xml:space="preserve">Bewertende Sprache ausgeschlossen.</t>
  </si>
  <si>
    <t xml:space="preserve">T-U006-05</t>
  </si>
  <si>
    <t xml:space="preserve">Vergleichsansicht integrieren</t>
  </si>
  <si>
    <t xml:space="preserve">D08</t>
  </si>
  <si>
    <t xml:space="preserve">Referenzbereiche gestrichen.</t>
  </si>
  <si>
    <t xml:space="preserve">T-U002-01</t>
  </si>
  <si>
    <t xml:space="preserve">Ursachenvermutung getrennt erfassen</t>
  </si>
  <si>
    <t xml:space="preserve">F007, T-U001-05, T-U006-05</t>
  </si>
  <si>
    <t xml:space="preserve">-</t>
  </si>
  <si>
    <t xml:space="preserve">T-U002-02</t>
  </si>
  <si>
    <t xml:space="preserve">Kontext für einen Demo-Fall auswählen</t>
  </si>
  <si>
    <t xml:space="preserve">T-U002-03</t>
  </si>
  <si>
    <t xml:space="preserve">Vorsichtige Einordnung generieren</t>
  </si>
  <si>
    <t xml:space="preserve">T-U003-01</t>
  </si>
  <si>
    <t xml:space="preserve">Ereignisse und Beschwerden zeitlich ordnen</t>
  </si>
  <si>
    <t xml:space="preserve">F007, T-U002-03, T-U013-03</t>
  </si>
  <si>
    <t xml:space="preserve">T-U003-02</t>
  </si>
  <si>
    <t xml:space="preserve">Unklare Beziehungen abfragen</t>
  </si>
  <si>
    <t xml:space="preserve">T-U003-03</t>
  </si>
  <si>
    <t xml:space="preserve">Getrennte Einordnung ausgeben</t>
  </si>
  <si>
    <t xml:space="preserve">T-U003-04</t>
  </si>
  <si>
    <t xml:space="preserve">Mehrdeutige Fälle evaluieren</t>
  </si>
  <si>
    <t xml:space="preserve">T-U008-01</t>
  </si>
  <si>
    <t xml:space="preserve">Vorsorge-Thema allgemein begrenzen</t>
  </si>
  <si>
    <t xml:space="preserve">F007, T-U001-05, T-U009-04, F014</t>
  </si>
  <si>
    <t xml:space="preserve">Nur allgemeine Information.</t>
  </si>
  <si>
    <t xml:space="preserve">T-U008-02</t>
  </si>
  <si>
    <t xml:space="preserve">Vorsorgefragen und Beschwerden unterscheiden</t>
  </si>
  <si>
    <t xml:space="preserve">Kein Dringlichkeitspfad mehr.</t>
  </si>
  <si>
    <t xml:space="preserve">T-U008-03</t>
  </si>
  <si>
    <t xml:space="preserve">Allgemeine Vorsorgeangebote erklären</t>
  </si>
  <si>
    <t xml:space="preserve">Individuelle Empfehlung gestrichen.</t>
  </si>
  <si>
    <t xml:space="preserve">T-U018-01</t>
  </si>
  <si>
    <t xml:space="preserve">Medikationsangabe modellieren</t>
  </si>
  <si>
    <t xml:space="preserve">F007, T-U019-04, T-U025-03</t>
  </si>
  <si>
    <t xml:space="preserve">T-U018-02</t>
  </si>
  <si>
    <t xml:space="preserve">Eingabe bestätigen lassen</t>
  </si>
  <si>
    <t xml:space="preserve">T-U018-03</t>
  </si>
  <si>
    <t xml:space="preserve">Medikation im Gesprächskontext verwenden</t>
  </si>
  <si>
    <t xml:space="preserve">T-U020-01</t>
  </si>
  <si>
    <t xml:space="preserve">Symptomeintrag-Vertrag festlegen</t>
  </si>
  <si>
    <t xml:space="preserve">F007, T-U019-04</t>
  </si>
  <si>
    <t xml:space="preserve">T-U020-02</t>
  </si>
  <si>
    <t xml:space="preserve">Eigene Einträge speichern und korrigieren</t>
  </si>
  <si>
    <t xml:space="preserve">T-U020-03</t>
  </si>
  <si>
    <t xml:space="preserve">Verlaufsliste mit Zeitraum bauen</t>
  </si>
  <si>
    <t xml:space="preserve">T-U020-04</t>
  </si>
  <si>
    <t xml:space="preserve">Verlauf in Löschung und Freigabe integrieren</t>
  </si>
  <si>
    <t xml:space="preserve">T-U016-01</t>
  </si>
  <si>
    <t xml:space="preserve">Erinnerungsregel definieren</t>
  </si>
  <si>
    <t xml:space="preserve">F007, T-U020-04</t>
  </si>
  <si>
    <t xml:space="preserve">features/reminders (neu)</t>
  </si>
  <si>
    <t xml:space="preserve">T-U016-02</t>
  </si>
  <si>
    <t xml:space="preserve">Regeln verwalten und Fälligkeit berechnen</t>
  </si>
  <si>
    <t xml:space="preserve">T-U016-03</t>
  </si>
  <si>
    <t xml:space="preserve">Erinnerung im UI anzeigen</t>
  </si>
  <si>
    <t xml:space="preserve">T-U030-01</t>
  </si>
  <si>
    <t xml:space="preserve">Allgemeines Ernährungsthema prüfen</t>
  </si>
  <si>
    <t xml:space="preserve">F007, T-U006-05, F014</t>
  </si>
  <si>
    <t xml:space="preserve">Vorerkrankungen und Allergien als Bewertungskontext entfernt.</t>
  </si>
  <si>
    <t xml:space="preserve">T-U030-02</t>
  </si>
  <si>
    <t xml:space="preserve">Ernährungsangaben und Ziel strukturieren</t>
  </si>
  <si>
    <t xml:space="preserve">T-U030-03</t>
  </si>
  <si>
    <t xml:space="preserve">Allgemeine Informationen zum Ziel anzeigen</t>
  </si>
  <si>
    <t xml:space="preserve">Individuelle Einordnung gestrichen.</t>
  </si>
  <si>
    <t xml:space="preserve">T-U031-01</t>
  </si>
  <si>
    <t xml:space="preserve">Kontextregeln für eine Messgröße prüfen</t>
  </si>
  <si>
    <t xml:space="preserve">F007, T-U006-05, T-U019-04, T-U001-05, F014</t>
  </si>
  <si>
    <t xml:space="preserve">T-U031-02</t>
  </si>
  <si>
    <t xml:space="preserve">Ausgangswerte und aktuelle Werte zuordnen</t>
  </si>
  <si>
    <t xml:space="preserve">T-U031-03</t>
  </si>
  <si>
    <t xml:space="preserve">Kontextbezogene Erklärung integrieren</t>
  </si>
  <si>
    <t xml:space="preserve">T-U029-01</t>
  </si>
  <si>
    <t xml:space="preserve">Allgemeines Bewegungsthema begrenzen</t>
  </si>
  <si>
    <t xml:space="preserve">Abhängigkeit zu U031 entfernt.</t>
  </si>
  <si>
    <t xml:space="preserve">T-U029-02</t>
  </si>
  <si>
    <t xml:space="preserve">Trainingsziel und Datenbedarf erfassen</t>
  </si>
  <si>
    <t xml:space="preserve">features/guidance, features/analysis</t>
  </si>
  <si>
    <t xml:space="preserve">T-U029-03</t>
  </si>
  <si>
    <t xml:space="preserve">Bewegungsdaten vorsichtig besprechen</t>
  </si>
  <si>
    <t xml:space="preserve">Vorerkrankungsbezug entfernt.</t>
  </si>
  <si>
    <t xml:space="preserve">T-U032-01</t>
  </si>
  <si>
    <t xml:space="preserve">Dokumenttypen und Felder festlegen</t>
  </si>
  <si>
    <t xml:space="preserve">T-U022-05, F008</t>
  </si>
  <si>
    <t xml:space="preserve">D03, D08</t>
  </si>
  <si>
    <t xml:space="preserve">contracts/llm, evals</t>
  </si>
  <si>
    <t xml:space="preserve">Optionale Datei-/Bildanalyse</t>
  </si>
  <si>
    <t xml:space="preserve">T-U032-02</t>
  </si>
  <si>
    <t xml:space="preserve">Text aus PDF extrahieren</t>
  </si>
  <si>
    <t xml:space="preserve">features/documents (neu), adapters/llm</t>
  </si>
  <si>
    <t xml:space="preserve">T-U032-03</t>
  </si>
  <si>
    <t xml:space="preserve">Werte aus Befundbild auslesen</t>
  </si>
  <si>
    <t xml:space="preserve">T-U032-04</t>
  </si>
  <si>
    <t xml:space="preserve">Auslesung bestätigen und übernehmen</t>
  </si>
  <si>
    <t xml:space="preserve">T-U032-02, T-U032-03</t>
  </si>
  <si>
    <t xml:space="preserve">T-U032-05</t>
  </si>
  <si>
    <t xml:space="preserve">Auslesequalität messen</t>
  </si>
  <si>
    <t xml:space="preserve">F016</t>
  </si>
  <si>
    <t xml:space="preserve">Datenschutzhinweis und Rechtsgrundlagen festlegen</t>
  </si>
  <si>
    <t xml:space="preserve">F009, T-U027-01</t>
  </si>
  <si>
    <t xml:space="preserve">D05, D09</t>
  </si>
  <si>
    <t xml:space="preserve">docs/compliance, features/consent</t>
  </si>
  <si>
    <t xml:space="preserve">Neu nach D09 (EU-Datenschutz/AI Act).</t>
  </si>
  <si>
    <t xml:space="preserve">F017</t>
  </si>
  <si>
    <t xml:space="preserve">Verarbeitungsverzeichnis, DSFA-Schwellwert und Pannenablauf</t>
  </si>
  <si>
    <t xml:space="preserve">D09</t>
  </si>
  <si>
    <t xml:space="preserve">docs/compliance</t>
  </si>
  <si>
    <t xml:space="preserve">F018</t>
  </si>
  <si>
    <t xml:space="preserve">Technische Schutzmaßnahmen umsetzen</t>
  </si>
  <si>
    <t xml:space="preserve">F002, F004, F011</t>
  </si>
  <si>
    <t xml:space="preserve">D05, D06, D09</t>
  </si>
  <si>
    <t xml:space="preserve">security, infra, .github</t>
  </si>
  <si>
    <t xml:space="preserve">T-U028-03</t>
  </si>
  <si>
    <t xml:space="preserve">KI-Ausgaben maschinenlesbar kennzeichnen</t>
  </si>
  <si>
    <t xml:space="preserve">T-U028-02, F003</t>
  </si>
  <si>
    <t xml:space="preserve">contracts/api, api, apps/web</t>
  </si>
  <si>
    <t xml:space="preserve">T-U033-01</t>
  </si>
  <si>
    <t xml:space="preserve">Exportumfang festlegen</t>
  </si>
  <si>
    <t xml:space="preserve">T-U033-02</t>
  </si>
  <si>
    <t xml:space="preserve">Export serverseitig erzeugen</t>
  </si>
  <si>
    <t xml:space="preserve">features/consent, adapters/db</t>
  </si>
  <si>
    <t xml:space="preserve">T-U033-03</t>
  </si>
  <si>
    <t xml:space="preserve">Export im UI anbieten</t>
  </si>
  <si>
    <t xml:space="preserve">T-U033-04</t>
  </si>
  <si>
    <t xml:space="preserve">Coding-Briefings nach Task-ID</t>
  </si>
  <si>
    <t xml:space="preserve">Gemeinsam mit der gleichnamigen Task-Zeile, ihrer User Story und den bestätigten Entscheidungen verwenden. Keine bestehende Codebasis oder Schnittstelle erfinden.</t>
  </si>
  <si>
    <t xml:space="preserve">Konkreter Auftrag</t>
  </si>
  <si>
    <t xml:space="preserve">Eingabe / Ausgabe</t>
  </si>
  <si>
    <t xml:space="preserve">Abnahmekriterien</t>
  </si>
  <si>
    <t xml:space="preserve">Gezielte Prüfung</t>
  </si>
  <si>
    <t xml:space="preserve">Nicht enthalten</t>
  </si>
  <si>
    <t xml:space="preserve">Bestandsbezug</t>
  </si>
  <si>
    <t xml:space="preserve">Lege UI-/Backend-Stack, Repositorystruktur, Modellbetrieb und Testwerkzeuge als kurze Teamentscheidung fest.</t>
  </si>
  <si>
    <t xml:space="preserve">Bestehendes Repository + Hardwareangaben → Entscheidungsnotiz.</t>
  </si>
  <si>
    <t xml:space="preserve">Entscheidung D01 und D03 haben bestätigten Stand; keine erfundenen Dateipfade.</t>
  </si>
  <si>
    <t xml:space="preserve">Startbefehle und Verantwortlichkeiten im Team nachvollzogen.</t>
  </si>
  <si>
    <t xml:space="preserve">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</si>
  <si>
    <t xml:space="preserve">B001, B002</t>
  </si>
  <si>
    <t xml:space="preserve">Ergänze minimale Projektstruktur, Konfigurationsbeispiel ohne Geheimnisse und Startanleitung für gewählten Stack.</t>
  </si>
  <si>
    <t xml:space="preserve">Bestätigter Stack → startbare leere Anwendung.</t>
  </si>
  <si>
    <t xml:space="preserve">Zweite Person kann Grundprojekt starten.</t>
  </si>
  <si>
    <t xml:space="preserve">Frischer Checkout ohne private Konfigurationsdatei.</t>
  </si>
  <si>
    <t xml:space="preserve">B007</t>
  </si>
  <si>
    <t xml:space="preserve">Definiere Nachricht, Chat-ID, Request-ID, Sprache, Antwort, Quellen und einheitliche Fehlercodes.</t>
  </si>
  <si>
    <t xml:space="preserve">UI-Nachricht → dokumentierter API-Vertrag.</t>
  </si>
  <si>
    <t xml:space="preserve">Beispielrequest und Beispielantwort sind schemavalid; maximale Eingabelänge ist festgelegt.</t>
  </si>
  <si>
    <t xml:space="preserve">Leerer Text und überlange Eingabe sind beschrieben.</t>
  </si>
  <si>
    <t xml:space="preserve">B001, E003</t>
  </si>
  <si>
    <t xml:space="preserve">Richte einen schnellen Testbefehl und automatischen Lauf für Pull Requests ein. Verwende nur synthetische Fixtures.</t>
  </si>
  <si>
    <t xml:space="preserve">Repository → automatischer Prüflauf.</t>
  </si>
  <si>
    <t xml:space="preserve">Fehlender Test lässt Prüflauf scheitern; erfolgreicher Lauf ist reproduzierbar.</t>
  </si>
  <si>
    <t xml:space="preserve">Absichtlich fehlschlagender Test in temporärem Branch.</t>
  </si>
  <si>
    <t xml:space="preserve">B005, B006</t>
  </si>
  <si>
    <t xml:space="preserve">Beschreibe Chatstart, Einwilligung, Eingabe, Antwort, Rückfrage, Laden und Fehler mit kleinen Screens.</t>
  </si>
  <si>
    <t xml:space="preserve">API-Vertrag → abgestimmte Skizzen.</t>
  </si>
  <si>
    <t xml:space="preserve">Ablauf auf Desktop und Smartphone durchspielbar.</t>
  </si>
  <si>
    <t xml:space="preserve">Team spielt Erfolgs- und Fehlerfall durch.</t>
  </si>
  <si>
    <t xml:space="preserve">E001</t>
  </si>
  <si>
    <t xml:space="preserve">Implementiere Eingabefeld, Senden und Nachrichtenliste zunächst mit lokalem Mock.</t>
  </si>
  <si>
    <t xml:space="preserve">Nachricht → lokaler Chatverlauf.</t>
  </si>
  <si>
    <t xml:space="preserve">Nachricht und feste Antwort erscheinen; leere Eingabe ist gesperrt.</t>
  </si>
  <si>
    <t xml:space="preserve">Tastatur, Doppelklick und lange Eingabe.</t>
  </si>
  <si>
    <t xml:space="preserve">E002</t>
  </si>
  <si>
    <t xml:space="preserve">Implementiere genau den Chat-Endpunkt aus F003 und verbinde ihn mit F006.</t>
  </si>
  <si>
    <t xml:space="preserve">Chatrequest → feste Chatantwort.</t>
  </si>
  <si>
    <t xml:space="preserve">Nachricht durchläuft UI und Server; ungültige Eingabe liefert vereinbarten Fehler.</t>
  </si>
  <si>
    <t xml:space="preserve">HTTP-Erfolg, Validierungsfehler und Verbindungsabbruch.</t>
  </si>
  <si>
    <t xml:space="preserve">E003</t>
  </si>
  <si>
    <t xml:space="preserve">Implementiere einen austauschbaren Modelladapter mit Fake für Tests, begrenzter Ausgabe und konfigurierbarem Timeout.</t>
  </si>
  <si>
    <t xml:space="preserve">Modellrequest → Rohantwort oder technischer Fehler.</t>
  </si>
  <si>
    <t xml:space="preserve">Adapter lässt sich ohne reales Modell testen; Modellkennung steht in Konfiguration.</t>
  </si>
  <si>
    <t xml:space="preserve">Fake-Erfolg, Timeout und nicht erreichbares Modell.</t>
  </si>
  <si>
    <t xml:space="preserve">B002, B007</t>
  </si>
  <si>
    <t xml:space="preserve">Definiere synthetische Eingaben und erlaubte technische Logfelder; Gesundheitsinhalte und Geheimnisse nicht standardmäßig loggen.</t>
  </si>
  <si>
    <t xml:space="preserve">Datenfluss → Testdaten-/Logging-Regel.</t>
  </si>
  <si>
    <t xml:space="preserve">Datenfluss und Logfelder sind abgestimmt.</t>
  </si>
  <si>
    <t xml:space="preserve">Synthetischer Geheimniswert darf nicht in Logs erscheinen.</t>
  </si>
  <si>
    <t xml:space="preserve">B003, B004</t>
  </si>
  <si>
    <t xml:space="preserve">Lege zwölf synthetische Beispiele mit Soll-Intent an: Gesundheit, fachfremd und unklar. Begrenze den MVP auf diese drei Klassen.</t>
  </si>
  <si>
    <t xml:space="preserve">Eingabe: einzelne deutsche Nachricht. Ausgabe: versionierte Fixture-Datei.</t>
  </si>
  <si>
    <t xml:space="preserve">Jeder Fall besitzt ID, Text und erwartete Klasse; Grenzfälle sind begründet.</t>
  </si>
  <si>
    <t xml:space="preserve">Enthält Mathefrage, Gesundheitsfrage und mehrdeutige Kurzfrage.</t>
  </si>
  <si>
    <t xml:space="preserve">Prüfe die Modellausgabe gegen das vereinbarte Intent-Schema. Ungültige Klassen und fehlende Felder führen zum definierten Fallback.</t>
  </si>
  <si>
    <t xml:space="preserve">Modelltext → validierter Intent oder kontrollierter Fehler.</t>
  </si>
  <si>
    <t xml:space="preserve">Nur vereinbarte Klassen passieren den Validator; fehlerhaftes JSON löst keine Folgeaktion aus.</t>
  </si>
  <si>
    <t xml:space="preserve">Ungültiges JSON, unbekannter Intent, leere Ausgabe.</t>
  </si>
  <si>
    <t xml:space="preserve">Ergänze die Route für fachfremde Fragen mit kurzem Aufgabenhinweis. Nutze keinen FHIR- oder Profildatenzugriff.</t>
  </si>
  <si>
    <t xml:space="preserve">Intent fachfremd → feste Antwort im Chat-Antwortformat.</t>
  </si>
  <si>
    <t xml:space="preserve">Mathefrage erhält Aufgabenhinweis; Datenadapter wird dabei nicht aufgerufen.</t>
  </si>
  <si>
    <t xml:space="preserve">Mock-Adapter bleibt unaufgerufen; Text erscheint im Chat.</t>
  </si>
  <si>
    <t xml:space="preserve">Wähle drei allgemeine Themen einschließlich eines Lifestyle-Themas. Erfasse je Thema eine freigegebene Kurzinfo, Quelle, Version und Gültigkeitsprüfung.</t>
  </si>
  <si>
    <t xml:space="preserve">Thema → geprüfter Informationseintrag; keine persönlichen Messwerte.</t>
  </si>
  <si>
    <t xml:space="preserve">Alle drei Texte sind fachlich überprüft; offene Quellenfragen verhindern Freigabe.</t>
  </si>
  <si>
    <t xml:space="preserve">Jeder Eintrag hat eine eindeutige ID und einen prüfbaren Quellenbezug.</t>
  </si>
  <si>
    <t xml:space="preserve">Ordne eine allgemeine Anfrage einem der drei freigegebenen Themen zu. Bei fehlendem Treffer liefere eine begrenzte Antwort statt Wissen zu erfinden.</t>
  </si>
  <si>
    <t xml:space="preserve">Validierte Anfrage + Wissenspaket → Eintrags-ID oder kein Treffer.</t>
  </si>
  <si>
    <t xml:space="preserve">Nur freigegebene Einträge werden verwendet; unbekanntes Thema nutzt Fallback.</t>
  </si>
  <si>
    <t xml:space="preserve">Bekanntes Thema, unbekanntes Thema, nicht freigegebener Eintrag.</t>
  </si>
  <si>
    <t xml:space="preserve">Erstelle die Antwort aus dem gewählten Eintrag: kurze Erklärung, erläuterte Fachbegriffe und Quellen. Details nur bei entsprechender Nachfrage.</t>
  </si>
  <si>
    <t xml:space="preserve">Eintrag + Detailwunsch → Chatantwort mit Quellenreferenzen.</t>
  </si>
  <si>
    <t xml:space="preserve">Keine Diagnose; Quelle gehört zum verwendeten Eintrag; Länge folgt vereinbarter Grenze.</t>
  </si>
  <si>
    <t xml:space="preserve">Fachwort wird erklärt; Quellen-ID bleibt korrekt; Detailwunsch wird berücksichtigt.</t>
  </si>
  <si>
    <t xml:space="preserve">Zeige Antwort und Quellen im Chat, einschließlich leerem Quellenzustand und weiterführender Nachfrage.</t>
  </si>
  <si>
    <t xml:space="preserve">Chatantwort → UI mit optionalen Quellenlinks.</t>
  </si>
  <si>
    <t xml:space="preserve">Links sind zugänglich beschriftet; dynamischer Text wird sicher ausgegeben.</t>
  </si>
  <si>
    <t xml:space="preserve">Tastaturbedienung, langer Quellentitel, HTML im Modelltext.</t>
  </si>
  <si>
    <t xml:space="preserve">Definiere für den M1-Dialog genau einen Rückfrageschritt, wenn das Anliegen nicht erkennbar ist. Halte Beispiele und Abbruchbedingungen fest.</t>
  </si>
  <si>
    <t xml:space="preserve">Intent unklar → Rückfragevorlage und erwartetes Antwortfeld.</t>
  </si>
  <si>
    <t xml:space="preserve">Unklarheit führt zu einer gezielten Frage; nach erneut unklarer Antwort greift Fallback.</t>
  </si>
  <si>
    <t xml:space="preserve">Leere, mehrdeutige und bereits ausreichende Anfrage.</t>
  </si>
  <si>
    <t xml:space="preserve">Speichere eine offene Rückfrage im flüchtigen Sitzungszustand und ordne die nächste Nachricht diesem Schritt zu.</t>
  </si>
  <si>
    <t xml:space="preserve">Sitzungs-ID + Nachricht → aktualisierter Rückfragestatus.</t>
  </si>
  <si>
    <t xml:space="preserve">Eine Antwort schließt den Schritt ab; neue Sitzung übernimmt keinen Zustand.</t>
  </si>
  <si>
    <t xml:space="preserve">Zwei Sitzungen, neue Sitzung, doppelte Nachricht.</t>
  </si>
  <si>
    <t xml:space="preserve">Stelle Rückfrage und Folgeantwort im selben Verlauf dar und leite den bestätigten Text erneut zur Intent-Erkennung.</t>
  </si>
  <si>
    <t xml:space="preserve">Rückfragestatus → UI und erneuter Routingaufruf.</t>
  </si>
  <si>
    <t xml:space="preserve">Eine vollständige Folgeantwort wird weitergeleitet; Abbruch bleibt möglich.</t>
  </si>
  <si>
    <t xml:space="preserve">End-to-End-Fall von unklarer Eingabe bis gültigem Intent.</t>
  </si>
  <si>
    <t xml:space="preserve">Zeige während einer offenen Anfrage einen zugänglichen Bearbeitungsstatus. Verhindere versehentliche Mehrfachsendungen derselben Anfrage.</t>
  </si>
  <si>
    <t xml:space="preserve">Request-ID und Anfragezustand → UI-Anzeige.</t>
  </si>
  <si>
    <t xml:space="preserve">Status beginnt beim Senden und endet in jedem Abschlussfall.</t>
  </si>
  <si>
    <t xml:space="preserve">Schnelle Antwort, langsame Antwort und Doppelklick.</t>
  </si>
  <si>
    <t xml:space="preserve">Beende das Warten nach konfigurierbarer Zeit. Späte Ergebnisse dürfen eine abgebrochene Anfrage nicht wieder sichtbar machen.</t>
  </si>
  <si>
    <t xml:space="preserve">Request-ID + Timeout-Konfiguration → Erfolg oder Fehlercode.</t>
  </si>
  <si>
    <t xml:space="preserve">Timeout liefert einheitlichen Fehler; verspätete Antwort wird verworfen.</t>
  </si>
  <si>
    <t xml:space="preserve">Fake-Timer, verspätetes Ergebnis, Netzwerkabbruch.</t>
  </si>
  <si>
    <t xml:space="preserve">Biete nach Fehler eine bewusste Wiederholung an. Definiere Wiederholungskennung und Darstellung der ursprünglichen Nachricht.</t>
  </si>
  <si>
    <t xml:space="preserve">Fehlgeschlagener Request → neuer Versuch mit Bezug zum alten.</t>
  </si>
  <si>
    <t xml:space="preserve">Eine Wiederholung erzeugt keine doppelte Nutzernachricht; Eingabetext bleibt erhalten.</t>
  </si>
  <si>
    <t xml:space="preserve">Timeout, Wiederholung, erneuter Fehler und erfolgreicher Abschluss.</t>
  </si>
  <si>
    <t xml:space="preserve">Lege Zustände ohne Entscheidung, zugestimmt, abgelehnt und widerrufen fest. Definiere Textversion und Verarbeitung im synthetischen Demo-Modus.</t>
  </si>
  <si>
    <t xml:space="preserve">Zustandsübergänge und versionierter Hinweistext.</t>
  </si>
  <si>
    <t xml:space="preserve">Zweck, Umfang und Wirkung des Widerrufs sind mit Betreuung geklärt.</t>
  </si>
  <si>
    <t xml:space="preserve">Für jeden Zustand ist Modellaufruf erlaubt oder gesperrt festgelegt.</t>
  </si>
  <si>
    <t xml:space="preserve">Baue einen Chatstart mit gleich verständlichen Optionen für Zustimmung und Ablehnung. Zeige später eine Widerrufsaktion.</t>
  </si>
  <si>
    <t xml:space="preserve">Hinweisversion + Entscheidung → Einwilligungsaktion.</t>
  </si>
  <si>
    <t xml:space="preserve">Keine vorausgewählte Zustimmung; Ablehnung startet keinen Chat-Aufruf.</t>
  </si>
  <si>
    <t xml:space="preserve">Tastatur, Ablehnung und erneutes Öffnen.</t>
  </si>
  <si>
    <t xml:space="preserve">Prüfe vor jedem Modellaufruf die aktuelle sitzungsgebundene Freigabe. Ein alleiniger UI-Schalter ist nicht ausreichend.</t>
  </si>
  <si>
    <t xml:space="preserve">Sitzungs-ID + Hinweisversion → erlaubte oder verweigerte Verarbeitung.</t>
  </si>
  <si>
    <t xml:space="preserve">Direkter API-Aufruf ohne Freigabe ist blockiert; gültige Zustimmung erlaubt ihn.</t>
  </si>
  <si>
    <t xml:space="preserve">Manipulierter Clientwert, fehlende Sitzung, alte Hinweisversion.</t>
  </si>
  <si>
    <t xml:space="preserve">Sperre neue Aufrufe bei Widerruf und verwerfe ausstehende Ergebnisse; brich laufende Verarbeitung soweit technisch möglich ab.</t>
  </si>
  <si>
    <t xml:space="preserve">Widerrufsaktion → neue Freigabeversion und Request-Abbruch.</t>
  </si>
  <si>
    <t xml:space="preserve">Nach Widerruf wird keine neue Antwort angezeigt und kein weiterer Aufruf begonnen.</t>
  </si>
  <si>
    <t xml:space="preserve">Widerruf vor, während und nach Antwort; keine Gleichsetzung mit Löschung.</t>
  </si>
  <si>
    <t xml:space="preserve">Verbinde Chat-Endpunkt und Modelladapter erst nach U027; validiere Ausgabe und liefere kontrollierten Fehler bei ungültiger Antwort.</t>
  </si>
  <si>
    <t xml:space="preserve">Chatrequest + gültige Freigabe → Modellantwort.</t>
  </si>
  <si>
    <t xml:space="preserve">Keine Freigabe bedeutet keinen Modellaufruf.</t>
  </si>
  <si>
    <t xml:space="preserve">End-to-End-Erfolg und ungültige Modellausgabe.</t>
  </si>
  <si>
    <t xml:space="preserve">Formuliere einen kurzen Hinweis zu KI, Funktionsgrenzen und Demo-Umfang; speichere ihn mit Versionskennung.</t>
  </si>
  <si>
    <t xml:space="preserve">Versionierter Textbaustein → Chatstart.</t>
  </si>
  <si>
    <t xml:space="preserve">Text ist abgestimmt und vor Einwilligung lesbar.</t>
  </si>
  <si>
    <t xml:space="preserve">Text und Versionskennung gehören zusammen.</t>
  </si>
  <si>
    <t xml:space="preserve">Zeige im Header eine erkennbare KI-Kennzeichnung und verlinke den Hinweis. Nutze dieselbe Textquelle wie am Chatstart.</t>
  </si>
  <si>
    <t xml:space="preserve">Textbaustein → Header und Hinweisansicht.</t>
  </si>
  <si>
    <t xml:space="preserve">Kennzeichnung bleibt auf kleinen Bildschirmen und während des Chats sichtbar.</t>
  </si>
  <si>
    <t xml:space="preserve">Desktop, Smartphone und Tastaturfokus.</t>
  </si>
  <si>
    <t xml:space="preserve">Führe die zwölf vorgeschlagenen M1-Kriterien mit Team-bestätigten Zielwerten aus und erfasse Nachweise.</t>
  </si>
  <si>
    <t xml:space="preserve">Integrierter M1-Stand → Reviewprotokoll.</t>
  </si>
  <si>
    <t xml:space="preserve">Alle Pflichtkriterien sind erfüllt oder mit konkretem Blocker dokumentiert.</t>
  </si>
  <si>
    <t xml:space="preserve">Zweite Person startet Anwendung und spielt Kernfälle durch.</t>
  </si>
  <si>
    <t xml:space="preserve">Extrahiere feste UI-, Rückfrage- und Fehlertexte in einen zweisprachigen Katalog. Prüfe insbesondere Grenzenhinweise.</t>
  </si>
  <si>
    <t xml:space="preserve">Textschlüssel + Sprache → UI-Text.</t>
  </si>
  <si>
    <t xml:space="preserve">Jeder Schlüssel hat beide Sprachversionen oder einen dokumentierten Fallback.</t>
  </si>
  <si>
    <t xml:space="preserve">Fehlender Schlüssel und langer englischer Text.</t>
  </si>
  <si>
    <t xml:space="preserve">Führe eine Sprachwahl für UI und Modellrequest ein. Unterstütze zunächst ausschließlich Deutsch und Englisch.</t>
  </si>
  <si>
    <t xml:space="preserve">Sprachcode → UI-Katalog und Modellparameter.</t>
  </si>
  <si>
    <t xml:space="preserve">Gewählte Sprache bleibt im aktuellen Chat konsistent; unbekannte Sprache wird abgefangen.</t>
  </si>
  <si>
    <t xml:space="preserve">Wechsel DE/EN, Reload und ungültiger Code.</t>
  </si>
  <si>
    <t xml:space="preserve">Teste dieselben freigegebenen Kernfälle in beiden Sprachen einschließlich Rückfrage und Fehler.</t>
  </si>
  <si>
    <t xml:space="preserve">Zweisprachige Fixtures → Vergleichsprotokoll.</t>
  </si>
  <si>
    <t xml:space="preserve">Keine neue medizinische Aussage durch Übersetzung; Texte sind verständlich geprüft.</t>
  </si>
  <si>
    <t xml:space="preserve">Fachfremd, allgemein, unklar und Timeout in beiden Sprachen.</t>
  </si>
  <si>
    <t xml:space="preserve">Implementiere vereinbarten Demo-Anmeldeweg mit zwei synthetischen Konten und serverseitiger Identität.</t>
  </si>
  <si>
    <t xml:space="preserve">Testanmeldung → serverseitige Sitzung.</t>
  </si>
  <si>
    <t xml:space="preserve">Abmelden beendet Zugriff; Client kann Identität nicht frei überschreiben.</t>
  </si>
  <si>
    <t xml:space="preserve">An-/Abmeldung, abgelaufene Sitzung und fremde Nutzer-ID.</t>
  </si>
  <si>
    <t xml:space="preserve">E004</t>
  </si>
  <si>
    <t xml:space="preserve">Kläre Version, Ressourcen, Einheiten und Patientenbezug; erstelle je unterstütztem Typ eine synthetische gültige und ungültige Fixture.</t>
  </si>
  <si>
    <t xml:space="preserve">Projektvorgabe → FHIR-Vertrag und Fixtures.</t>
  </si>
  <si>
    <t xml:space="preserve">D02 bestätigt; kein Rückschluss von R4-Beispiellink auf echte Projektversion.</t>
  </si>
  <si>
    <t xml:space="preserve">Version und Ressourcenprofil explizit geprüft.</t>
  </si>
  <si>
    <t xml:space="preserve">B004</t>
  </si>
  <si>
    <t xml:space="preserve">Implementiere nach D06 eine kleine gemeinsame Ablage mit Nutzerbindung, Versionsfeld und Löschadapter-Schnittstelle.</t>
  </si>
  <si>
    <t xml:space="preserve">Eigene Datensätze → Speicheradapter.</t>
  </si>
  <si>
    <t xml:space="preserve">Isolation und sichere Wiederholung sind getestet; noch keine profilspezifische Logik.</t>
  </si>
  <si>
    <t xml:space="preserve">Zwei Nutzer und wiederholtes Löschen eines Datensatzes.</t>
  </si>
  <si>
    <t xml:space="preserve">B003</t>
  </si>
  <si>
    <t xml:space="preserve">Beschreibe für zwei synthetische Konten, welche eigenen Daten gelesen oder geändert werden dürfen. Identität stammt ausschließlich aus der Sitzung.</t>
  </si>
  <si>
    <t xml:space="preserve">Sitzungsidentität + Ressourceneigentümer → Zugriffsentscheidung.</t>
  </si>
  <si>
    <t xml:space="preserve">Eigener Abruf, fremder Abruf und fehlende Anmeldung haben eindeutige Ergebnisse.</t>
  </si>
  <si>
    <t xml:space="preserve">Matrix enthält manipulierte Nutzer-ID und fremde Ressourcen-ID.</t>
  </si>
  <si>
    <t xml:space="preserve">Ergänze eine zentrale serverseitige Eigentumsprüfung vor dem Rückgeben einer Ressource. Verwende die Testkonten aus F011.</t>
  </si>
  <si>
    <t xml:space="preserve">Autorisierter Datenzugriff → Ressource oder neutraler Fehler.</t>
  </si>
  <si>
    <t xml:space="preserve">Eine fremde Ressourcen-ID liefert keine Inhalte; eigene Daten bleiben abrufbar.</t>
  </si>
  <si>
    <t xml:space="preserve">Konto A fordert Ressource von B an; Parameter wird manipuliert.</t>
  </si>
  <si>
    <t xml:space="preserve">Trenne Systemregeln von Nutzer- und Datentexten. Modelltext darf weder Identität noch erlaubte Datenquellen überschreiben.</t>
  </si>
  <si>
    <t xml:space="preserve">Dateninhalt → begrenzter Kontext; Rechte bleiben serverseitig.</t>
  </si>
  <si>
    <t xml:space="preserve">In Daten eingebettete Anweisungen ändern keine Zugriffsentscheidung.</t>
  </si>
  <si>
    <t xml:space="preserve">Prompt-Injection in Nachricht und importiertem Textfeld.</t>
  </si>
  <si>
    <t xml:space="preserve">Zeige ein neutrales Fehlerformat ohne fremde Inhalte oder interne Details und protokolliere nur technische Metadaten.</t>
  </si>
  <si>
    <t xml:space="preserve">Fehlercode → UI-Text und minimales technisches Ereignis.</t>
  </si>
  <si>
    <t xml:space="preserve">Fehlerantwort und Logs verraten keine fremden Gesundheitsdaten.</t>
  </si>
  <si>
    <t xml:space="preserve">Fehler-Snapshot und Logprüfung mit synthetischem Geheimniswert.</t>
  </si>
  <si>
    <t xml:space="preserve">Definiere Quell-ID, Zweck, Nutzer, Freigabeversion und Status getrennt von der Chat-Einwilligung.</t>
  </si>
  <si>
    <t xml:space="preserve">Nutzer + Quelle + Zweck → versionierter Freigabestatus.</t>
  </si>
  <si>
    <t xml:space="preserve">Freigaben zweier Quellen und zweier Nutzer sind unabhängig.</t>
  </si>
  <si>
    <t xml:space="preserve">Widerruf einer Quelle beeinflusst die andere nicht.</t>
  </si>
  <si>
    <t xml:space="preserve">Implementiere lesende und ändernde Operationen für die eigenen Freigaben; Datenzugriffe prüfen den aktuellen Stand.</t>
  </si>
  <si>
    <t xml:space="preserve">Eigene Freigabeaktion → gespeicherter Status und Prüffunktion.</t>
  </si>
  <si>
    <t xml:space="preserve">Nicht freigegebene Quelle wird serverseitig abgewiesen.</t>
  </si>
  <si>
    <t xml:space="preserve">Unangemeldet, fremde Freigabe, gültige Änderung.</t>
  </si>
  <si>
    <t xml:space="preserve">Zeige verfügbare Quellen, Zweck und Freigabestatus mit eigener Widerrufsaktion je Quelle.</t>
  </si>
  <si>
    <t xml:space="preserve">Quellenliste → Auswahlansicht.</t>
  </si>
  <si>
    <t xml:space="preserve">Status wird nach Änderung vom Server übernommen; Fehler stellt alten Stand wieder her.</t>
  </si>
  <si>
    <t xml:space="preserve">Erfolgreiche Änderung, Serverfehler und Reload.</t>
  </si>
  <si>
    <t xml:space="preserve">Entferne widerrufene Quellen aus künftigem Modellkontext und invalidiere betroffene Anwendungs-Caches.</t>
  </si>
  <si>
    <t xml:space="preserve">Widerruf → Kontext-/Cache-Invalidierung.</t>
  </si>
  <si>
    <t xml:space="preserve">Nach Widerruf liefert ein neuer Abruf keine Daten dieser Quelle.</t>
  </si>
  <si>
    <t xml:space="preserve">Bereits geladene Quelle, laufender Request und erneuter Abruf.</t>
  </si>
  <si>
    <t xml:space="preserve">Definiere zunächst eine vereinbarte Messgröße mit Zeitraumfilter und normalisiertem Ausgabeschema. Weitere Messgrößen sind spätere kleine Erweiterungen.</t>
  </si>
  <si>
    <t xml:space="preserve">Messgrößen-ID + Zeitraum → Liste normalisierter Einträge.</t>
  </si>
  <si>
    <t xml:space="preserve">Wert, Einheit, Messzeitpunkt, Quelle und Ressourcen-ID sind festgelegt.</t>
  </si>
  <si>
    <t xml:space="preserve">Eine gültige und eine nicht unterstützte Messgrößen-ID.</t>
  </si>
  <si>
    <t xml:space="preserve">Lese die freigegebene Ressource aus synthetischen FHIR-Fixtures und überführe sie ohne Interpretation in das interne Schema.</t>
  </si>
  <si>
    <t xml:space="preserve">Freigegebene FHIR-Version + Ressource → interner Eintrag.</t>
  </si>
  <si>
    <t xml:space="preserve">Originalwert und Einheit bleiben erhalten; unbekannte Felder werden kontrolliert behandelt.</t>
  </si>
  <si>
    <t xml:space="preserve">Gültige Ressource, fehlende Einheit, nicht unterstützter Ressourcentyp.</t>
  </si>
  <si>
    <t xml:space="preserve">Verbinde Zeitraumprüfung, Rechteprüfung und Adapter. Setze eine Ergebnisgrenze und behandle weitere Seiten gemäß Datenvertrag.</t>
  </si>
  <si>
    <t xml:space="preserve">Authentifizierte Abfrage → begrenzte Ergebnisliste.</t>
  </si>
  <si>
    <t xml:space="preserve">Nur eigene freigegebene Daten innerhalb des Zeitraums werden geliefert.</t>
  </si>
  <si>
    <t xml:space="preserve">Zeitraumgrenzen, unzulässige Quelle und mehr als eine Seite.</t>
  </si>
  <si>
    <t xml:space="preserve">Zeige Messwert, Einheit, Zeit und Quelle im Chat oder Datenpanel. Formatiere Daten ohne neue medizinische Interpretation.</t>
  </si>
  <si>
    <t xml:space="preserve">Normalisierte Einträge → Liste oder Tabelle.</t>
  </si>
  <si>
    <t xml:space="preserve">Kein Wert ohne zugehörige Herkunft; leere Ergebnisse sind erkennbar.</t>
  </si>
  <si>
    <t xml:space="preserve">Dezimalwert, Zeitzone und langer Quellenname.</t>
  </si>
  <si>
    <t xml:space="preserve">Unterscheide fehlend, nach vereinbarter Regel veraltet und technisch nicht verfügbar. Aktualitätsschwellen stammen aus Konfiguration, nicht aus Modellvermutung.</t>
  </si>
  <si>
    <t xml:space="preserve">Metadaten + konfigurierter Stichtag → Datenzustand.</t>
  </si>
  <si>
    <t xml:space="preserve">Jeder Zustand hat Ursache und UI-Text; Grenzfall ist definiert.</t>
  </si>
  <si>
    <t xml:space="preserve">Fehlender Zeitstempel und Zeitpunkt genau an der Grenze.</t>
  </si>
  <si>
    <t xml:space="preserve">Implementiere die Zustandsprüfung als kleine deterministische Funktion und ergänze den Abruf um diese Metadaten.</t>
  </si>
  <si>
    <t xml:space="preserve">Abrufresultat → Einträge und Datenzustände.</t>
  </si>
  <si>
    <t xml:space="preserve">Null oder fehlend wird nicht zu Messwert null umgedeutet.</t>
  </si>
  <si>
    <t xml:space="preserve">Leere Liste, Adapterfehler und veralteter Wert.</t>
  </si>
  <si>
    <t xml:space="preserve">Zeige je Datenzustand einen verständlichen Hinweis, ohne daraus eine gesundheitliche Entwarnung abzuleiten.</t>
  </si>
  <si>
    <t xml:space="preserve">Zustand → Hinweis mit möglichem nächsten Bedienungsschritt.</t>
  </si>
  <si>
    <t xml:space="preserve">Fehlender Wert erscheint nicht als normaler Messwert; technische Fehler bleiben unterscheidbar.</t>
  </si>
  <si>
    <t xml:space="preserve">UI-Prüfung aller drei Zustände.</t>
  </si>
  <si>
    <t xml:space="preserve">Inventarisiere Chats, Profile, Imports und Verlaufsspeicher sowie Cache/Backup-Grenzen. Definiere den unterstützten Löschumfang der Demo.</t>
  </si>
  <si>
    <t xml:space="preserve">Speicherinventar → bestätigter Löschvertrag.</t>
  </si>
  <si>
    <t xml:space="preserve">Für jede Datenklasse sind Löschziel, Ausnahmen und verantwortlicher Speicher benannt.</t>
  </si>
  <si>
    <t xml:space="preserve">Kein Versprechen der Löschung externer Originalakten.</t>
  </si>
  <si>
    <t xml:space="preserve">Zeige Auswahl eigener Datenklassen und eine verständliche Bestätigung. Abbrechen führt zu keiner Änderung.</t>
  </si>
  <si>
    <t xml:space="preserve">Datenauswahl → bestätigter Löschauftrag.</t>
  </si>
  <si>
    <t xml:space="preserve">Auswahl ist explizit; Bestätigung enthält Umfang und verbleibende Grenzen.</t>
  </si>
  <si>
    <t xml:space="preserve">Abbrechen, leere Auswahl und einmaliges Bestätigen.</t>
  </si>
  <si>
    <t xml:space="preserve">Lösche die ausgewählten eigenen Anwendungsdaten über registrierte Speicheradapter. Mehrfachaufruf desselben Auftrags ist sicher.</t>
  </si>
  <si>
    <t xml:space="preserve">Nutzer + Auftrags-ID + Datenklassen → Status je Speicher.</t>
  </si>
  <si>
    <t xml:space="preserve">Fremde Daten bleiben erhalten; Teilausfälle werden als solche gemeldet.</t>
  </si>
  <si>
    <t xml:space="preserve">Zweiter Aufruf, fremde ID und ein fehlschlagender Speicheradapter.</t>
  </si>
  <si>
    <t xml:space="preserve">Zeige den tatsächlichen Abschlussstatus je Datenklasse. Entferne gelöschte Daten aus UI und Cache; ergänze später neue Speicheradapter im Inventar.</t>
  </si>
  <si>
    <t xml:space="preserve">Löschergebnis → Anzeige und Cache-Invalidierung.</t>
  </si>
  <si>
    <t xml:space="preserve">Erneuter Abruf gelöschter Daten bleibt leer; Fehler wird nicht als vollständig erledigt dargestellt.</t>
  </si>
  <si>
    <t xml:space="preserve">Neu laden, Teilfehler und isoliertes zweites Konto.</t>
  </si>
  <si>
    <t xml:space="preserve">Begrenze das erste Profil auf Alter, Allergien und Vorerkrankungen als Selbstauskunft mit Herkunft und Änderungszeit. Verwendung nur für Anzeige und PDF.</t>
  </si>
  <si>
    <t xml:space="preserve">Profilformular → versioniertes Profilobjekt.</t>
  </si>
  <si>
    <t xml:space="preserve">Selbstauskunft ist von importiertem Befund unterscheidbar; unbekannt ist kein negatives Ergebnis; keine Nutzung zur Bewertung.</t>
  </si>
  <si>
    <t xml:space="preserve">Unbekannte Allergieangabe gegenüber ausdrücklich verneint.</t>
  </si>
  <si>
    <t xml:space="preserve">Implementiere Lesen und Ändern des eigenen Profils mit Validierung und Schutz gegen verlorene gleichzeitige Änderungen.</t>
  </si>
  <si>
    <t xml:space="preserve">Eigene Profil-ID + Version + Änderungen → neue Version.</t>
  </si>
  <si>
    <t xml:space="preserve">Fremdzugriff scheitert; veraltete Änderung erhält Konfliktmeldung.</t>
  </si>
  <si>
    <t xml:space="preserve">Ungültiges Alter, Versionskonflikt und fremde ID.</t>
  </si>
  <si>
    <t xml:space="preserve">Baue Anzeige, Bearbeitung und Abbrechen für die drei Felder. Kennzeichne die Angaben als Selbstauskunft.</t>
  </si>
  <si>
    <t xml:space="preserve">Profilobjekt ↔ Formular.</t>
  </si>
  <si>
    <t xml:space="preserve">Nach Speichern und Reload bleiben Angaben konsistent; Abbrechen verändert nichts.</t>
  </si>
  <si>
    <t xml:space="preserve">Speichern, Abbrechen, Serverfehler.</t>
  </si>
  <si>
    <t xml:space="preserve">Registriere den Profilspeicher im Löschablauf. Profilangaben werden nicht an die Antworterzeugung zur Bewertung übergeben.</t>
  </si>
  <si>
    <t xml:space="preserve">Freigabestatus + Profil → erlaubter Kontext.</t>
  </si>
  <si>
    <t xml:space="preserve">Löschung entfernt Profil; Antworten bleiben ohne Profil unverändert allgemein.</t>
  </si>
  <si>
    <t xml:space="preserve">Freigabewechsel und Profil-Löschung im Integrationstest.</t>
  </si>
  <si>
    <t xml:space="preserve">Lege eine FHIR-Version, einen Ressourcentyp und erlaubte Dateigröße fest. Nur synthetische JSON-Dateien, keine PDFs oder Live-Synchronisierung.</t>
  </si>
  <si>
    <t xml:space="preserve">Datei → Importvertrag.</t>
  </si>
  <si>
    <t xml:space="preserve">Positiv- und Negativ-Fixtures liegen vor; JSON ohne unterstütztes FHIR-Schema ist ausgeschlossen.</t>
  </si>
  <si>
    <t xml:space="preserve">Falsche Version und nicht unterstützter Typ.</t>
  </si>
  <si>
    <t xml:space="preserve">Prüfe Dateigröße, parse JSON sicher und validiere Struktur vor jeder Übernahme.</t>
  </si>
  <si>
    <t xml:space="preserve">Upload → validierte Kandidaten oder Fehlerliste.</t>
  </si>
  <si>
    <t xml:space="preserve">Ungültige und übergroße Dateien verändern keinen Speicher.</t>
  </si>
  <si>
    <t xml:space="preserve">Ungültiges JSON, Größenlimit und fehlende Pflichtfelder.</t>
  </si>
  <si>
    <t xml:space="preserve">Prüfe Kandidaten gegen eigene Identität und vorhandene Quell-/Ressourcen-IDs. Zeige Konflikte statt still zu überschreiben.</t>
  </si>
  <si>
    <t xml:space="preserve">Kandidaten + eigene Bestände → Prüfresultat.</t>
  </si>
  <si>
    <t xml:space="preserve">Fremder Patientenbezug ist blockiert; erneuter Import ist als Dublette markiert.</t>
  </si>
  <si>
    <t xml:space="preserve">Fremde Patient-ID, gleiche ID und widersprüchlicher Inhalt.</t>
  </si>
  <si>
    <t xml:space="preserve">Zeige geprüfte Werte, Herkunft und Fehler vor Übernahme. Nur zulässige Kandidaten können bestätigt werden.</t>
  </si>
  <si>
    <t xml:space="preserve">Prüfresultat → bestätigte Auswahl.</t>
  </si>
  <si>
    <t xml:space="preserve">Abbrechen speichert nichts; Fehler sind einzelnen Kandidaten zugeordnet.</t>
  </si>
  <si>
    <t xml:space="preserve">Gemischte gültige/ungültige Datei und Abbruch.</t>
  </si>
  <si>
    <t xml:space="preserve">Speichere bestätigte Einträge getrennt von externen Originalakten und registriere sie für Freigabe und Löschung.</t>
  </si>
  <si>
    <t xml:space="preserve">Bestätigte Auswahl + Import-ID → gespeicherte Einträge.</t>
  </si>
  <si>
    <t xml:space="preserve">Wiederholte Bestätigung erzeugt keine Dublette; Herkunft bleibt erhalten.</t>
  </si>
  <si>
    <t xml:space="preserve">Doppelklick, Teilfehler und spätere Löschung.</t>
  </si>
  <si>
    <t xml:space="preserve">Vereinbare den Reviewprozess für knowledge/: Quelle, Version, Reviewer, Status. Nur allgemeine Inhalte gemäß D08.</t>
  </si>
  <si>
    <t xml:space="preserve">Regelentwurf → dokumentierte Freigabe.</t>
  </si>
  <si>
    <t xml:space="preserve">Prozess dokumentiert; Strukturcheck erzwingt Kopfdaten.</t>
  </si>
  <si>
    <t xml:space="preserve">Ein Entwurf bleibt technisch inaktiv.</t>
  </si>
  <si>
    <t xml:space="preserve">B008</t>
  </si>
  <si>
    <t xml:space="preserve">Definiere Antwort-ID, positiv/negativ und optionalen kurzen Kommentar. Speichere nur den für Review vereinbarten Kontext.</t>
  </si>
  <si>
    <t xml:space="preserve">Antwortbewertung → minimales Feedbackobjekt.</t>
  </si>
  <si>
    <t xml:space="preserve">Kein automatisches Training oder Prompt-Update wird ausgelöst.</t>
  </si>
  <si>
    <t xml:space="preserve">Kommentar fehlt oder überschreitet Längengrenze.</t>
  </si>
  <si>
    <t xml:space="preserve">Speichere Feedback zur eigenen Antwort und verhindere versehentliche Duplikate. Integriere den Speicher in U024.</t>
  </si>
  <si>
    <t xml:space="preserve">Eigene Antwort-ID + Feedback → Bestätigung.</t>
  </si>
  <si>
    <t xml:space="preserve">Fremde Antwort-ID ist gesperrt; wiederholte Bewertung folgt vereinbarter Änderungsregel.</t>
  </si>
  <si>
    <t xml:space="preserve">Doppelklick, fremde Antwort und Löschung.</t>
  </si>
  <si>
    <t xml:space="preserve">Baue zwei Bewertungsaktionen und einen optionalen Kommentar mit sichtbarer Speicherbestätigung.</t>
  </si>
  <si>
    <t xml:space="preserve">Antwortkarte → Feedbackaktion.</t>
  </si>
  <si>
    <t xml:space="preserve">Fehler erhält Eingabe; Bewertung kann nachvollziehbar geändert werden.</t>
  </si>
  <si>
    <t xml:space="preserve">Tastatur und Netzwerkausfall.</t>
  </si>
  <si>
    <t xml:space="preserve">Definiere einen flüchtigen Kontext aus bestätigten Angaben, offenen Fragen und einer begrenzten Nachrichtenhistorie.</t>
  </si>
  <si>
    <t xml:space="preserve">Sitzungs-ID → begrenztes Kontextobjekt.</t>
  </si>
  <si>
    <t xml:space="preserve">Zulässige Felder, Lebensdauer und Verhalten bei Kontextlimit sind dokumentiert.</t>
  </si>
  <si>
    <t xml:space="preserve">Neue Sitzung und ausgeschöpftes Kontextfenster.</t>
  </si>
  <si>
    <t xml:space="preserve">Lege den Kontext sitzungsisoliert ab und setze ihn bei neuem Chat zurück. Verwende keine globale gemeinsame Nachrichtenliste.</t>
  </si>
  <si>
    <t xml:space="preserve">Chat-ID + Ereignis → aktualisierter Kontext.</t>
  </si>
  <si>
    <t xml:space="preserve">Zwei parallele Chats beeinflussen sich nicht.</t>
  </si>
  <si>
    <t xml:space="preserve">Zwei Konten, zwei Chats und Reset.</t>
  </si>
  <si>
    <t xml:space="preserve">Übergebe nur freigegebene bestätigte Angaben an die Antworterzeugung. Weise bei verlorenen älteren Angaben auf erneuten Klärbedarf hin.</t>
  </si>
  <si>
    <t xml:space="preserve">Nachricht + Kontext → Modellrequest.</t>
  </si>
  <si>
    <t xml:space="preserve">Folgefrage nutzt bestätigte Angabe; abgeschnittener Kontext wird nicht erfunden.</t>
  </si>
  <si>
    <t xml:space="preserve">Bezug auf vorherige Angabe und Kontextlimit.</t>
  </si>
  <si>
    <t xml:space="preserve">Lasse eine kleine Liste von Warnzeichen-Stichworten mit einem festen allgemeinen Notfallhinweis (112, 116117) sowie eine allgemeine Übersicht, welche Stelle wofür zuständig ist, aus geprüfter Quelle fachlich freigeben. Ablage in knowledge/rules und knowledge/care_paths.</t>
  </si>
  <si>
    <t xml:space="preserve">Quellen → freigegebene Wissenseinträge mit Status geprueft.</t>
  </si>
  <si>
    <t xml:space="preserve">Jeder Eintrag hat ID, Quelle, Reviewer und Datum. Keine Einstufungsstufen (dringend/nicht dringend).</t>
  </si>
  <si>
    <t xml:space="preserve">Enthält dringlichen, nicht dringlichen und unklaren Fall.</t>
  </si>
  <si>
    <t xml:space="preserve">Extrahiere genannte Beschwerden und Verneinungen in ein validiertes Schema und gleiche sie mit der freigegebenen Stichwortliste ab. Unbekanntes bleibt unbekannt.</t>
  </si>
  <si>
    <t xml:space="preserve">Nachricht → Symptomobjekt.</t>
  </si>
  <si>
    <t xml:space="preserve">Verneinte Stichworte ("kein Fieber") lösen keinen Hinweis aus; Schema-Fehler führen zum Fallback.</t>
  </si>
  <si>
    <t xml:space="preserve">Negation, unklare Zeit und ungültiges JSON.</t>
  </si>
  <si>
    <t xml:space="preserve">Implementiere deterministisch: Enthält die Nachricht ein freigegebenes Warnzeichen-Stichwort, wird der feste Hinweistext ausgegeben. Keine Stufen, kein Modell in der Entscheidung.</t>
  </si>
  <si>
    <t xml:space="preserve">Erkannte Stichworte → fester Hinweistext mit Eintrags-ID.</t>
  </si>
  <si>
    <t xml:space="preserve">Gleiche Stichworte ergeben immer denselben Text; ohne Treffer kein Hinweis und keine Entwarnung.</t>
  </si>
  <si>
    <t xml:space="preserve">Alle freigegebenen Fixtures sowie fehlende Angaben.</t>
  </si>
  <si>
    <t xml:space="preserve">Zeige den festen Notfallhinweis vor jeder anderen Antwort an. Die allgemeine Information aus U009 folgt darunter.</t>
  </si>
  <si>
    <t xml:space="preserve">Regelentscheidung → priorisierte Chatantwort.</t>
  </si>
  <si>
    <t xml:space="preserve">Hinweis ist immer zuerst sichtbar; keine Formulierung bewertet die Lage der Person.</t>
  </si>
  <si>
    <t xml:space="preserve">Dringlicher und normaler Antwortpfad gleichzeitig vorbereitet.</t>
  </si>
  <si>
    <t xml:space="preserve">Teste Stichwort, verneintes Stichwort, unbekannte Beschwerde und Mehrfachnennung gegen Sollantworten in evals/answers.</t>
  </si>
  <si>
    <t xml:space="preserve">Testkatalog → protokollierte Ergebnisse.</t>
  </si>
  <si>
    <t xml:space="preserve">Keine Antwort enthält eine Dringlichkeitseinstufung, Diagnose oder Entwarnung.</t>
  </si>
  <si>
    <t xml:space="preserve">Review der Texte und Integrationstest mit unbekanntem Fall.</t>
  </si>
  <si>
    <t xml:space="preserve">Modelliere Korrektur mit Zielangabe, altem und neuem Wert sowie Bestätigungszustand. Unklare Ziele erfordern Rückfrage.</t>
  </si>
  <si>
    <t xml:space="preserve">Nutzernachricht → Korrekturvorschlag.</t>
  </si>
  <si>
    <t xml:space="preserve">Eine Korrektur kann nicht wahllos mehrere Angaben ersetzen.</t>
  </si>
  <si>
    <t xml:space="preserve">Zwei mögliche Zielangaben und klare Einzelkorrektur.</t>
  </si>
  <si>
    <t xml:space="preserve">Aktualisiere nur die gewählte eigene Angabe im Sitzungskontext; importierte Befunde bleiben unverändert.</t>
  </si>
  <si>
    <t xml:space="preserve">Bestätigtes Ereignis → neue Kontextversion.</t>
  </si>
  <si>
    <t xml:space="preserve">Folgeantwort nutzt den neuen Wert; Herkunft und Korrektur bleiben nachvollziehbar.</t>
  </si>
  <si>
    <t xml:space="preserve">Abbruch, alte Version und importierter Befund.</t>
  </si>
  <si>
    <t xml:space="preserve">Zeige alte und neue Angabe kurz zur Bestätigung und prüfe den gesamten Dialogablauf.</t>
  </si>
  <si>
    <t xml:space="preserve">Korrekturvorschlag → UI-Aktion.</t>
  </si>
  <si>
    <t xml:space="preserve">Nutzer kann bestätigen oder ablehnen; keine Änderung bei Ablehnung.</t>
  </si>
  <si>
    <t xml:space="preserve">End-to-End: missverstandene Dauer korrigieren und erneut fragen.</t>
  </si>
  <si>
    <t xml:space="preserve">Zerlege eine Nachricht in höchstens drei Anliegen mit Textbezug und eindeutiger ID. Mehr Anliegen führen zu einer Klärfrage.</t>
  </si>
  <si>
    <t xml:space="preserve">Nachricht → Liste von Anliegen.</t>
  </si>
  <si>
    <t xml:space="preserve">Kein Teil wird still verworfen; Negationen bleiben beim richtigen Anliegen.</t>
  </si>
  <si>
    <t xml:space="preserve">Ein, drei und vier Anliegen; Negation in einem Teil.</t>
  </si>
  <si>
    <t xml:space="preserve">Prüfe jedes Anliegen über den Stichwortabgleich aus U001. Bei Treffer steht der feste Hinweis vor allen Antwortabschnitten.</t>
  </si>
  <si>
    <t xml:space="preserve">Anliegenliste → priorisierte Ergebnisliste.</t>
  </si>
  <si>
    <t xml:space="preserve">Hinweis erscheint einmal und zuerst; keine Rangfolge nach Dringlichkeit.</t>
  </si>
  <si>
    <t xml:space="preserve">Gesundheitsfrage plus dringliche Beschwerde plus fachfremde Frage.</t>
  </si>
  <si>
    <t xml:space="preserve">Zeige klar zugeordnete Antwortabschnitte und markiere noch offene Anliegen.</t>
  </si>
  <si>
    <t xml:space="preserve">Ergebnisliste → strukturierte Chatansicht.</t>
  </si>
  <si>
    <t xml:space="preserve">Reihenfolge und Anliegenzuordnung sind nachvollziehbar.</t>
  </si>
  <si>
    <t xml:space="preserve">Teilantwort fehlt; Prioritätswechsel; lange Texte.</t>
  </si>
  <si>
    <t xml:space="preserve">Fasse bestätigte Beschwerden, Dauer und ausgewählte eigene Daten zusammen. Trenne Selbstauskunft und Messdaten mit Quelle. Keine Chatbot-Einschätzungen aufnehmen.</t>
  </si>
  <si>
    <t xml:space="preserve">Kontext + Datenauswahl → Zusammenfassungsobjekt.</t>
  </si>
  <si>
    <t xml:space="preserve">Zusammenfassung enthält nur Nutzerangaben und Daten; keine Bewertung oder Vermutung.</t>
  </si>
  <si>
    <t xml:space="preserve">Fehlende Dauer und widersprüchliche noch unbestätigte Angabe.</t>
  </si>
  <si>
    <t xml:space="preserve">Zeige eine editierbare Auswahl der aufzunehmenden Abschnitte und eine Vorschau vor Export.</t>
  </si>
  <si>
    <t xml:space="preserve">Zusammenfassung + Auswahl → freigegebene Exportansicht.</t>
  </si>
  <si>
    <t xml:space="preserve">Abgewählte Inhalte fehlen in der Vorschau; Änderungen betreffen nicht die Originalakte.</t>
  </si>
  <si>
    <t xml:space="preserve">Abschnitt abwählen, abbrechen und leere Zusammenfassung.</t>
  </si>
  <si>
    <t xml:space="preserve">Exportiere die freigegebene Darstellung mit Datum und Quellenhinweisen in eine herunterladbare PDF.</t>
  </si>
  <si>
    <t xml:space="preserve">Bestätigte Ansicht → PDF-Datei.</t>
  </si>
  <si>
    <t xml:space="preserve">Text ist lesbar, lange Inhalte umbrechen; keine automatische Übermittlung.</t>
  </si>
  <si>
    <t xml:space="preserve">Mehrseitige Zusammenfassung, Umlaute und leerer Abschnitt.</t>
  </si>
  <si>
    <t xml:space="preserve">Beschränke Export auf die eigene Sitzung und entferne temporäre Exportdateien gemäß festgelegtem Ablauf.</t>
  </si>
  <si>
    <t xml:space="preserve">Export-ID + Sitzung → Download oder Fehler.</t>
  </si>
  <si>
    <t xml:space="preserve">Fremder Exportzugriff scheitert; temporäre Dateien verbleiben nicht unkontrolliert.</t>
  </si>
  <si>
    <t xml:space="preserve">Abgelaufene Export-ID und anderes Konto.</t>
  </si>
  <si>
    <t xml:space="preserve">Definiere zunächst widersprüchliche Angaben zur selben Eigenschaft und zum selben Zeitpunkt. Zeitlich verschiedene Messungen sind nicht automatisch Konflikte.</t>
  </si>
  <si>
    <t xml:space="preserve">Zwei Angaben mit Herkunft und Zeit → Konfliktdefinition.</t>
  </si>
  <si>
    <t xml:space="preserve">Drei Konflikt- und drei Nichtkonflikt-Fixtures sind abgestimmt.</t>
  </si>
  <si>
    <t xml:space="preserve">Gleicher Messwerttyp an verschiedenen Tagen.</t>
  </si>
  <si>
    <t xml:space="preserve">Vergleiche normalisierte eigene Angaben ohne externe Befunde zu überschreiben. Erzeuge einen Konflikt mit beiden Quellen.</t>
  </si>
  <si>
    <t xml:space="preserve">Angabenpaar → Konflikt oder kein Konflikt.</t>
  </si>
  <si>
    <t xml:space="preserve">Konflikt enthält beide Werte; unterschiedliche Einheiten werden nicht ungeprüft verglichen.</t>
  </si>
  <si>
    <t xml:space="preserve">Einheitenkonflikt, gleiche Werte und fehlende Zeit.</t>
  </si>
  <si>
    <t xml:space="preserve">Zeige eine gezielte Frage und übernehme die bestätigte Selbstauskunft über U012. Ungeklärte Fälle bleiben markiert.</t>
  </si>
  <si>
    <t xml:space="preserve">Konflikt → Antwort/Bestätigung → Kontextänderung.</t>
  </si>
  <si>
    <t xml:space="preserve">Keine stille Auswahl; Ablehnung erhält beide Quellen.</t>
  </si>
  <si>
    <t xml:space="preserve">Bestätigen, unklar lassen und neue widersprüchliche Antwort.</t>
  </si>
  <si>
    <t xml:space="preserve">Beschränke die erste Analyse auf eine Messgröße und zwei nicht überlappende Zeiträume. Definiere Aggregation, Zeitzone und Mindestdatenregel.</t>
  </si>
  <si>
    <t xml:space="preserve">Messgröße + zwei Zeiträume → Analysevertrag.</t>
  </si>
  <si>
    <t xml:space="preserve">Berechnung und Umgang mit fehlenden Werten sind fachlich/technisch abgestimmt.</t>
  </si>
  <si>
    <t xml:space="preserve">Leerer Zeitraum und unterschiedliche Messhäufigkeit.</t>
  </si>
  <si>
    <t xml:space="preserve">Berechne die freigegebene Kennzahl, Differenz und Anzahl verwendeter Messungen außerhalb des LLM.</t>
  </si>
  <si>
    <t xml:space="preserve">Normalisierte Messungen → Vergleichsobjekt.</t>
  </si>
  <si>
    <t xml:space="preserve">Ergebnis ist mit handberechneten Fixtures identisch; keine erfundenen Ersatzwerte.</t>
  </si>
  <si>
    <t xml:space="preserve">Nullwert, fehlender Wert, Zeitgrenze und unterschiedliche Einheiten.</t>
  </si>
  <si>
    <t xml:space="preserve">Füge verwendete Ressourcen-IDs, Zeiträume, Einheiten und Datenlücken zum Vergleichsobjekt hinzu.</t>
  </si>
  <si>
    <t xml:space="preserve">Vergleich + Quellen → belegtes Analyseobjekt.</t>
  </si>
  <si>
    <t xml:space="preserve">Jedes Ergebnis lässt sich auf seine Eingabedaten zurückführen.</t>
  </si>
  <si>
    <t xml:space="preserve">Ausgefilterte Daten erscheinen nicht als verwendete Quellen.</t>
  </si>
  <si>
    <t xml:space="preserve">Lasse nur die berechneten Ergebnisse sprachlich erklären. Keine Begriffe wie normal, gut, schlecht, auffällig oder bedenklich.</t>
  </si>
  <si>
    <t xml:space="preserve">Analyseobjekt → Erklärung mit Unsicherheiten.</t>
  </si>
  <si>
    <t xml:space="preserve">Antwort enthält nur berechnete Zahlen, Zeiträume und Datenlücken; keine Bewertung, keine Ursache.</t>
  </si>
  <si>
    <t xml:space="preserve">Abweichende Modellzahl führt zu Fallback.</t>
  </si>
  <si>
    <t xml:space="preserve">Zeige Zeitraumwahl, Kennzahlen und Datenlücken. Keine Referenzbereiche und keine farbliche Bewertung von Werten.</t>
  </si>
  <si>
    <t xml:space="preserve">Analyseobjekt → Vergleichsansicht.</t>
  </si>
  <si>
    <t xml:space="preserve">Leerer Zeitraum liefert Hinweis; Quellen sind erreichbar; keine Referenzbereiche sichtbar.</t>
  </si>
  <si>
    <t xml:space="preserve">Gültiger Vergleich, fehlende Daten und nicht freigegebener Referenzbereich.</t>
  </si>
  <si>
    <t xml:space="preserve">Extrahiere berichtete Beschwerde und vermutete Ursache als getrennte Angaben inklusive Zeitbezug.</t>
  </si>
  <si>
    <t xml:space="preserve">Nachricht → Symptom und Hypothese mit Herkunft.</t>
  </si>
  <si>
    <t xml:space="preserve">Nutzervermutung wird nicht zur bestätigten Ursache umetikettiert.</t>
  </si>
  <si>
    <t xml:space="preserve">Bauchschmerz nach Essen; Nutzer nennt mehrere mögliche Auslöser.</t>
  </si>
  <si>
    <t xml:space="preserve">Wähle für einen fachlich freigegebenen Szenariotyp nur relevante eigene Daten; fehlende Angaben führen zur Rückfrage.</t>
  </si>
  <si>
    <t xml:space="preserve">Hypothese + freigegebene Daten → begrenzter Kontext.</t>
  </si>
  <si>
    <t xml:space="preserve">Keine vollständige Akte im Prompt; Auswahlregel und Quellen sind nachvollziehbar.</t>
  </si>
  <si>
    <t xml:space="preserve">Nicht relevante Daten und fehlender Zeitpunkt.</t>
  </si>
  <si>
    <t xml:space="preserve">Verbinde U001-Vorrang und geprüfte Informationsbausteine. Stelle die Vermutung als Möglichkeit dar und nenne die vereinbarten nächsten Schritte.</t>
  </si>
  <si>
    <t xml:space="preserve">Hypothese + Kontext → begrenzte Erklärung.</t>
  </si>
  <si>
    <t xml:space="preserve">Keine gesicherte Kausaldiagnose; erkannte Dringlichkeit hat Vorrang.</t>
  </si>
  <si>
    <t xml:space="preserve">Unbelegte Ursache, widersprechende Zeitangabe und dringlicher Fall.</t>
  </si>
  <si>
    <t xml:space="preserve">Modelliere berichtete Ereignisse und Symptome getrennt mit Zeitpunkt oder unbekanntem Zeitbezug.</t>
  </si>
  <si>
    <t xml:space="preserve">Nachricht → Ereignis-/Symptomliste.</t>
  </si>
  <si>
    <t xml:space="preserve">Zeitliche Nähe wird nicht automatisch als Ursache gespeichert.</t>
  </si>
  <si>
    <t xml:space="preserve">Gestoßener Zeh, Fußschmerz und Übelkeit ohne gemeinsamen Zeitbezug.</t>
  </si>
  <si>
    <t xml:space="preserve">Stelle für einen ausgewählten Demo-Fall höchstens eine Rückfrage je Schritt zu Beginn und Verlauf.</t>
  </si>
  <si>
    <t xml:space="preserve">Ereignisliste → offene Beziehung und Rückfrage.</t>
  </si>
  <si>
    <t xml:space="preserve">Unbekannte Beziehungen bleiben offen; keine erzwungene Zusammenfassung.</t>
  </si>
  <si>
    <t xml:space="preserve">Zwei unabhängige Beschwerden und widersprüchliche Antwort.</t>
  </si>
  <si>
    <t xml:space="preserve">Nutze U013 für getrennte Anliegen und U001 für Priorität. Erkläre nur fachlich freigegebene mögliche Zusammenhänge.</t>
  </si>
  <si>
    <t xml:space="preserve">Bestätigter Kontext → getrennte Antwortabschnitte.</t>
  </si>
  <si>
    <t xml:space="preserve">Antwort unterscheidet mögliche Beziehung und unabhängige Abklärung.</t>
  </si>
  <si>
    <t xml:space="preserve">Keine Belege für Zusammenhang sowie priorisiertes Warnzeichen.</t>
  </si>
  <si>
    <t xml:space="preserve">Vergleiche sechs synthetische Mehrfachfälle mit abgestimmten Sollantworten und protokolliere Fehler.</t>
  </si>
  <si>
    <t xml:space="preserve">Versionierter Fallsatz → Reviewprotokoll.</t>
  </si>
  <si>
    <t xml:space="preserve">Kein Fall wird ohne Beleg als eindeutige gemeinsame Ursache ausgegeben.</t>
  </si>
  <si>
    <t xml:space="preserve">Fehlende Zeit, Negation, Korrektur und widersprüchliche Angaben.</t>
  </si>
  <si>
    <t xml:space="preserve">Wähle ein allgemeines Vorsorgeangebot und lasse die allgemeine Beschreibung fachlich freigeben (knowledge/topics).</t>
  </si>
  <si>
    <t xml:space="preserve">Themen-ID → geprüfter Wissenseintrag.</t>
  </si>
  <si>
    <t xml:space="preserve">Eintrag ist allgemein formuliert; kein Krankheitsausschluss, keine individuelle Empfehlung.</t>
  </si>
  <si>
    <t xml:space="preserve">Anfrage nach Garantie, nicht krank zu sein.</t>
  </si>
  <si>
    <t xml:space="preserve">Route allgemeine Vorsorgefragen zum Wissenseintrag. Geschilderte Beschwerden laufen über den Stichwortabgleich aus U001 und erhalten allgemeine Information aus U009.</t>
  </si>
  <si>
    <t xml:space="preserve">Anfrage → Vorsorge- oder Symptomroute.</t>
  </si>
  <si>
    <t xml:space="preserve">Eine Beschwerde wird nicht nur mit Vorsorgeinformation beantwortet; keine individuelle Abklärungsempfehlung.</t>
  </si>
  <si>
    <t xml:space="preserve">Allgemeine Früherkennung versus aktuelle Beschwerden.</t>
  </si>
  <si>
    <t xml:space="preserve">Erkläre das freigegebene Vorsorgeangebot allgemein (wer, wie oft laut Quelle, wo nachfragen) und verweise auf die Arztpraxis.</t>
  </si>
  <si>
    <t xml:space="preserve">Themenkontext → Erklärung offener Informationen.</t>
  </si>
  <si>
    <t xml:space="preserve">Keine Aussage, ob die Person selbst etwas abklären lassen sollte.</t>
  </si>
  <si>
    <t xml:space="preserve">Fehlende Daten, Wunsch nach Ausschlussgarantie und unbekanntes Thema.</t>
  </si>
  <si>
    <t xml:space="preserve">Definiere Name, optionale Menge/Einheit, Einnahmezeit und Herkunft als Selbstauskunft; fehlende Werte bleiben offen.</t>
  </si>
  <si>
    <t xml:space="preserve">Nutzereingabe → Medikationsvorschlag.</t>
  </si>
  <si>
    <t xml:space="preserve">Kein automatischer Arzneimittelabgleich oder Interaktionsbefund.</t>
  </si>
  <si>
    <t xml:space="preserve">Unbekannter Produktname und fehlende Menge.</t>
  </si>
  <si>
    <t xml:space="preserve">Zeige erfasste Angaben zur Bestätigung oder Korrektur. Erst bestätigte Angaben werden Kontext.</t>
  </si>
  <si>
    <t xml:space="preserve">Vorschlag → bestätigte Selbstauskunft.</t>
  </si>
  <si>
    <t xml:space="preserve">Eine Erwähnung im hypothetischen Satz ist keine bestätigte Einnahme.</t>
  </si>
  <si>
    <t xml:space="preserve">Negierte Einnahme, hypothetische Frage und Korrektur.</t>
  </si>
  <si>
    <t xml:space="preserve">Ergänze bestätigte Angaben für Rückfragen und ärztliche/pharmazeutische Gesprächsvorbereitung. Nutze bestehende Freigabe und Löschung.</t>
  </si>
  <si>
    <t xml:space="preserve">Freigegebene Angaben → Kontextabschnitt.</t>
  </si>
  <si>
    <t xml:space="preserve">Keine Therapieänderung oder automatische Wechselwirkungsdiagnose.</t>
  </si>
  <si>
    <t xml:space="preserve">Widerruf, unbekannte Dosis und spätere Korrektur.</t>
  </si>
  <si>
    <t xml:space="preserve">Definiere Symptomtext, Zeitpunkt, Dauer und subjektive Stärke mit eindeutig beschrifteter Skala.</t>
  </si>
  <si>
    <t xml:space="preserve">Formulardaten → validierter Verlaufseintrag.</t>
  </si>
  <si>
    <t xml:space="preserve">Skala und unbekannte Werte sind erklärt; kein klinischer Score wird behauptet.</t>
  </si>
  <si>
    <t xml:space="preserve">Fehlende Dauer und Stärke außerhalb der Skala.</t>
  </si>
  <si>
    <t xml:space="preserve">Implementiere Anlegen, Lesen und Korrigieren mit Nutzerbindung und Änderungszeit.</t>
  </si>
  <si>
    <t xml:space="preserve">Nutzer + Eintrag → gespeicherte Version.</t>
  </si>
  <si>
    <t xml:space="preserve">Fremde Einträge sind geschützt; Korrektur ist nachvollziehbar.</t>
  </si>
  <si>
    <t xml:space="preserve">Fremde ID und konkurrierende Änderungen.</t>
  </si>
  <si>
    <t xml:space="preserve">Zeige Einträge chronologisch mit Filter und klaren Zeitangaben. Keine Kausalinterpretation in der Liste.</t>
  </si>
  <si>
    <t xml:space="preserve">Einträge + Zeitraum → Verlaufsliste.</t>
  </si>
  <si>
    <t xml:space="preserve">Zeitraumfilter enthält die vereinbarten Grenzen; leere Liste ist verständlich.</t>
  </si>
  <si>
    <t xml:space="preserve">Gleicher Zeitpunkt, Zeitzone und leerer Zeitraum.</t>
  </si>
  <si>
    <t xml:space="preserve">Registriere den Speicher in U024 und prüfe Freigabe vor weiterer Analyse.</t>
  </si>
  <si>
    <t xml:space="preserve">Freigabe + Verlauf → erlaubte Datenauswahl.</t>
  </si>
  <si>
    <t xml:space="preserve">Gelöschte oder widerrufene Einträge gelangen nicht in neue Analyseaufrufe.</t>
  </si>
  <si>
    <t xml:space="preserve">Löschen, Widerrufen und erneuter Abruf.</t>
  </si>
  <si>
    <t xml:space="preserve">Begrenze Erinnerungen auf selbst gewählte Messgröße und Intervall innerhalb der App. Keine medizinisch automatisch bestimmten Intervalle.</t>
  </si>
  <si>
    <t xml:space="preserve">Eigene Auswahl → Erinnerungsregel.</t>
  </si>
  <si>
    <t xml:space="preserve">Regel enthält Aktivstatus, Zeitzone und Fälligkeit.</t>
  </si>
  <si>
    <t xml:space="preserve">Zeitumstellung und ungültiges Intervall.</t>
  </si>
  <si>
    <t xml:space="preserve">Implementiere eigene Regeln und deterministische Fälligkeitsberechnung ohne Push-/E-Mail-Dienst.</t>
  </si>
  <si>
    <t xml:space="preserve">Regel + aktuelle Zeit → fällig oder nicht fällig.</t>
  </si>
  <si>
    <t xml:space="preserve">Deaktivierte Regel erzeugt keinen Hinweis; fremde Regeln bleiben verborgen.</t>
  </si>
  <si>
    <t xml:space="preserve">Fake-Uhr, deaktiviert und zweites Konto.</t>
  </si>
  <si>
    <t xml:space="preserve">Zeige fälligen Hinweis mit Erledigen, Ändern und Abschalten. Binde gespeicherte Regeln in U024 ein.</t>
  </si>
  <si>
    <t xml:space="preserve">Fälligkeit → In-App-Hinweis.</t>
  </si>
  <si>
    <t xml:space="preserve">Abschalten wirkt sofort und bleibt nach Reload bestehen.</t>
  </si>
  <si>
    <t xml:space="preserve">Erledigen, Reload und Löschen der Regel.</t>
  </si>
  <si>
    <t xml:space="preserve">Wähle ein allgemeines Ernährungsthema (z. B. eisenreiche Lebensmittel) und lasse die allgemeine Information freigeben. Kein Bezug zu Erkrankungen oder Laborwerten.</t>
  </si>
  <si>
    <t xml:space="preserve">Thema → freigegebene Informationsbausteine.</t>
  </si>
  <si>
    <t xml:space="preserve">Eintrag freigegeben; keine Diätpläne, Dosierungen oder Erfolgsgarantien.</t>
  </si>
  <si>
    <t xml:space="preserve">Anfrage nach krankheitsspezifischem Diätplan.</t>
  </si>
  <si>
    <t xml:space="preserve">Übernehme bestätigte eigene Essensangaben und ein Ziel als Gesprächskontext. Nicht vorhandene Mengen werden nicht geschätzt.</t>
  </si>
  <si>
    <t xml:space="preserve">Bestätigte Angaben → Ernährungskontext.</t>
  </si>
  <si>
    <t xml:space="preserve">Unbekannte Mengen bleiben unbekannt; Herkunft ist sichtbar.</t>
  </si>
  <si>
    <t xml:space="preserve">Unvollständige Mahlzeit und hypothetische Lebensmittelangabe.</t>
  </si>
  <si>
    <t xml:space="preserve">Verbinde freigegebene allgemeine Information mit dem selbst gesetzten Ziel und Fragen für eine Ernährungsberatung.</t>
  </si>
  <si>
    <t xml:space="preserve">Kontext + Informationspaket → Erklärung.</t>
  </si>
  <si>
    <t xml:space="preserve">Keine erfundenen Nährwerte, keine Ableitung aus Laborwerten.</t>
  </si>
  <si>
    <t xml:space="preserve">Allergiehinweis, fehlende Mengen und unbekanntes Thema.</t>
  </si>
  <si>
    <t xml:space="preserve">Definiere mit fachlicher Betreuung, wie bekannte Ausgangswerte und Erkrankungen bei einer ausgewählten Messgröße berücksichtigt werden dürfen.</t>
  </si>
  <si>
    <t xml:space="preserve">Messgröße + Kontext → geprüfte Regelversion.</t>
  </si>
  <si>
    <t xml:space="preserve">Bekannte Erkrankung bedeutet nicht automatisch harmlos; Freigabe ist dokumentiert.</t>
  </si>
  <si>
    <t xml:space="preserve">Neue Veränderung trotz bekannter Vorerkrankung.</t>
  </si>
  <si>
    <t xml:space="preserve">Ermittle vergleichbare Werte mit Zeit, Einheit und Herkunft. Fehlende Baseline bleibt als fehlend markiert.</t>
  </si>
  <si>
    <t xml:space="preserve">Eigene Messdaten → Baseline-/Aktuell-Paar oder fehlend.</t>
  </si>
  <si>
    <t xml:space="preserve">Nicht vergleichbare Einheiten oder Zeiträume werden nicht gleichgesetzt.</t>
  </si>
  <si>
    <t xml:space="preserve">Fehlende Baseline, andere Einheit und veraltete Werte.</t>
  </si>
  <si>
    <t xml:space="preserve">Nutze die freigegebene Regelversion, zeige Unsicherheit und erhalte den Vorrang von U001.</t>
  </si>
  <si>
    <t xml:space="preserve">Wertepaar + Profilkontext → Erklärung.</t>
  </si>
  <si>
    <t xml:space="preserve">Keine pauschale Normalisierung aufgrund der Diagnose; Regel- und Quellenbezug vorhanden.</t>
  </si>
  <si>
    <t xml:space="preserve">Bekannte Abweichung, neue Veränderung und fehlende Daten.</t>
  </si>
  <si>
    <t xml:space="preserve">Wähle ein allgemeines Bewegungsthema mit freigegebener Lifestyle-Information. Kein Bezug zu Erkrankungen.</t>
  </si>
  <si>
    <t xml:space="preserve">Thema → geprüftes Informationspaket.</t>
  </si>
  <si>
    <t xml:space="preserve">Eintrag freigegeben; keine individuelle Belastungsfreigabe.</t>
  </si>
  <si>
    <t xml:space="preserve">Anfrage nach garantierter sicherer Belastungsgrenze.</t>
  </si>
  <si>
    <t xml:space="preserve">Erfasse ein selbst formuliertes Ziel und wähle eine unterstützte Bewegungskennzahl aus U006.</t>
  </si>
  <si>
    <t xml:space="preserve">Ziel + freigegebene Kennzahl → Gesprächskontext.</t>
  </si>
  <si>
    <t xml:space="preserve">Ziel ist Selbstauskunft; fehlende Kennzahl bleibt sichtbar.</t>
  </si>
  <si>
    <t xml:space="preserve">Keine Daten, fremde Quelle und unrealistisches Ziel.</t>
  </si>
  <si>
    <t xml:space="preserve">Verbinde berechnete Kennzahl und selbst gesetztes Ziel mit geprüfter allgemeiner Information.</t>
  </si>
  <si>
    <t xml:space="preserve">Kontext + Informationspaket → begrenzte Antwort.</t>
  </si>
  <si>
    <t xml:space="preserve">Keine Erfolgsgarantie, keine Therapieanweisung, kein Bezug zu Erkrankungen.</t>
  </si>
  <si>
    <t xml:space="preserve">Vorerkrankung, fehlende Daten und nicht unterstützte Kennzahl.</t>
  </si>
  <si>
    <t xml:space="preserve">Lege fest, welche synthetischen Befundarten (PDF mit Text, Foto) und welche Felder (Messgröße, Wert, Einheit, Datum) ausgelesen werden.</t>
  </si>
  <si>
    <t xml:space="preserve">Beispielbefunde → Feldliste und JSON-Schema in contracts/llm.</t>
  </si>
  <si>
    <t xml:space="preserve">Zehn synthetische Beispielbefunde mit Sollwerten in evals/.</t>
  </si>
  <si>
    <t xml:space="preserve">Schema-Beispiele sind valide.</t>
  </si>
  <si>
    <t xml:space="preserve">Nur den beschriebenen Teil umsetzen. Keine echten Befunde, keine medizinischen Bilder. Keine individuelle Bewertung, Diagnose oder Dringlichkeitseinstufung (D08).</t>
  </si>
  <si>
    <t xml:space="preserve">Extrahiere den Text aus PDFs mit Textebene per Bibliothek; das Modell erhält nur den Text.</t>
  </si>
  <si>
    <t xml:space="preserve">PDF → Text → Felder nach Schema.</t>
  </si>
  <si>
    <t xml:space="preserve">Werte aus PDF-Beispielen stimmen mit Sollwerten überein.</t>
  </si>
  <si>
    <t xml:space="preserve">PDF ohne Textebene wird an T-U032-03 übergeben.</t>
  </si>
  <si>
    <t xml:space="preserve">Lies Werte aus Fotos und Scans über den Bild-Port des LLM-Adapters gegen das Schema aus. Bildgröße serverseitig begrenzen.</t>
  </si>
  <si>
    <t xml:space="preserve">Bild → validierte Felder oder definierter Fehler.</t>
  </si>
  <si>
    <t xml:space="preserve">Ungültige Ausgabe führt zum Fehler statt zu geratenen Werten.</t>
  </si>
  <si>
    <t xml:space="preserve">Messung auf zehn Beispielbildern.</t>
  </si>
  <si>
    <t xml:space="preserve">Zeige ausgelesene Werte in der Importvorschau aus U022 zur Bestätigung oder Korrektur; erst bestätigte Werte werden gespeichert.</t>
  </si>
  <si>
    <t xml:space="preserve">Kandidaten → Vorschau → bestätigte Einträge mit Herkunft "Dokument-Auslesung".</t>
  </si>
  <si>
    <t xml:space="preserve">Nichts wird ohne Bestätigung gespeichert.</t>
  </si>
  <si>
    <t xml:space="preserve">Korrektur und Abbruch getestet.</t>
  </si>
  <si>
    <t xml:space="preserve">Miss Trefferquote je Feld auf den Beispielbefunden und dokumentiere Fehlerarten.</t>
  </si>
  <si>
    <t xml:space="preserve">Beispielbefunde → Messbericht.</t>
  </si>
  <si>
    <t xml:space="preserve">Ergebnis dokumentiert; medizinische Bilder werden abgelehnt.</t>
  </si>
  <si>
    <t xml:space="preserve">Ablehnung eines Hautfotos getestet.</t>
  </si>
  <si>
    <t xml:space="preserve">Finalisiere den Datenschutzhinweis (Art. 13) und die Einwilligungstexte je Zweck auf Basis des Entwurfs in docs/compliance/Datenschutzhinweis.md; stimme ihn mit der Betreuung ab.</t>
  </si>
  <si>
    <t xml:space="preserve">Entwurf → abgestimmter Text mit Versionsnummer.</t>
  </si>
  <si>
    <t xml:space="preserve">Hinweis nennt Verantwortlichen, Zweck, Rechtsgrundlage, Speicherdauer, Rechte; Version wird bei Einwilligung gespeichert.</t>
  </si>
  <si>
    <t xml:space="preserve">Review durch Betreuung dokumentiert.</t>
  </si>
  <si>
    <t xml:space="preserve">Nur den beschriebenen Teil umsetzen. Keine echten personenbezogenen Daten. Keine individuelle Bewertung, Diagnose oder Dringlichkeitseinstufung (D08).</t>
  </si>
  <si>
    <t xml:space="preserve">Vervollständige Verarbeitungsverzeichnis, DSFA-Schwellwertprüfung und Ablauf bei Datenpannen; führe eine kurze Teameinweisung zu Datenschutz und KI-Grenzen durch (AI Act Art. 4).</t>
  </si>
  <si>
    <t xml:space="preserve">Entwürfe in docs/compliance → abgestimmte Dokumente.</t>
  </si>
  <si>
    <t xml:space="preserve">Jede Verarbeitung im Code hat eine Zeile im Verzeichnis; Einweisung mit Datum dokumentiert.</t>
  </si>
  <si>
    <t xml:space="preserve">Abgleich Verzeichnis gegen Endpunkte.</t>
  </si>
  <si>
    <t xml:space="preserve">Setze die TOM aus docs/compliance/TOM.md um: Passwort-Hashing, HTTPS außerhalb lokal, Entscheidung zur Verschlüsselung gespeicherter Gesundheitsdaten, Abhängigkeitsprüfung in CI, Secrets nur über .env.</t>
  </si>
  <si>
    <t xml:space="preserve">TOM-Liste → umgesetzte Maßnahmen mit Test oder Nachweis.</t>
  </si>
  <si>
    <t xml:space="preserve">Jede TOM-Zeile hat Stand und Nachweis; kein Passwort im Klartext; CI meldet bekannte Lücken.</t>
  </si>
  <si>
    <t xml:space="preserve">Tests für Hashing und Zugriff; CI-Lauf.</t>
  </si>
  <si>
    <t xml:space="preserve">Ergänze jede Modellantwort im API-Vertrag um eine maschinenlesbare Kennzeichnung als KI-generiert (z. B. Feld ai_generated und Modellversion) und übernimm sie im Frontend (AI Act Art. 50).</t>
  </si>
  <si>
    <t xml:space="preserve">Antwortobjekt → Antwort mit Kennzeichnungsfeldern.</t>
  </si>
  <si>
    <t xml:space="preserve">Jede Modellantwort trägt die Kennzeichnung; feste Systemtexte sind unterscheidbar.</t>
  </si>
  <si>
    <t xml:space="preserve">Vertragstest auf Pflichtfeld.</t>
  </si>
  <si>
    <t xml:space="preserve">Liste alle gespeicherten Datenklassen je Nutzer auf (Chats, Einwilligungen, Profil, Importe, Feedback) und lege das Exportformat fest.</t>
  </si>
  <si>
    <t xml:space="preserve">Datenklassen → Exportschema.</t>
  </si>
  <si>
    <t xml:space="preserve">Jede gespeicherte Datenklasse ist im Export enthalten oder begründet ausgenommen.</t>
  </si>
  <si>
    <t xml:space="preserve">Abgleich mit Verarbeitungsverzeichnis.</t>
  </si>
  <si>
    <t xml:space="preserve">Erzeuge den Export nur für den angemeldeten Nutzer über die registrierten Speicheradapter.</t>
  </si>
  <si>
    <t xml:space="preserve">Sitzung → JSON-Export (Gesundheitsdaten wo möglich FHIR).</t>
  </si>
  <si>
    <t xml:space="preserve">Fremde Daten nie enthalten; Export vollständig laut T-U033-01.</t>
  </si>
  <si>
    <t xml:space="preserve">Test mit zwei Testkonten.</t>
  </si>
  <si>
    <t xml:space="preserve">Biete Auskunftsansicht und Download an, mit Ladezustand und Fehlerfall.</t>
  </si>
  <si>
    <t xml:space="preserve">Klick → Download.</t>
  </si>
  <si>
    <t xml:space="preserve">Nutzer sieht, welche Datenklassen enthalten sind.</t>
  </si>
  <si>
    <t xml:space="preserve">UI-Test.</t>
  </si>
  <si>
    <t xml:space="preserve">Prüfe Zugriffsschutz, Vollständigkeit und Entfernung temporärer Exportdateien.</t>
  </si>
  <si>
    <t xml:space="preserve">Testfälle → Protokoll.</t>
  </si>
  <si>
    <t xml:space="preserve">Kein Zugriff auf fremde Exporte; temporäre Dateien werden entfernt.</t>
  </si>
  <si>
    <t xml:space="preserve">Integrationstest.</t>
  </si>
  <si>
    <t xml:space="preserve">Offene Entscheidungen vor der Umsetzung</t>
  </si>
  <si>
    <t xml:space="preserve">Vorschläge sind keine bereits getroffenen Architekturentscheidungen. Bestätigte Ergebnisse und Nachweislinks hier eintragen.</t>
  </si>
  <si>
    <t xml:space="preserve">Thema</t>
  </si>
  <si>
    <t xml:space="preserve">Zu klären</t>
  </si>
  <si>
    <t xml:space="preserve">Zuständigkeit</t>
  </si>
  <si>
    <t xml:space="preserve">Beschluss / Nachweis</t>
  </si>
  <si>
    <t xml:space="preserve">D01</t>
  </si>
  <si>
    <t xml:space="preserve">Technischer Stack und Repository</t>
  </si>
  <si>
    <t xml:space="preserve">UI-/Backend-Sprache, Frameworks, Repositorystruktur, vorhandener Code und Startbefehle bestätigen.</t>
  </si>
  <si>
    <t xml:space="preserve">Architektur / Team</t>
  </si>
  <si>
    <t xml:space="preserve">In Klärung</t>
  </si>
  <si>
    <t xml:space="preserve">Empfehlung (nicht bestätigt): docs/decisions/D01-Stack.md</t>
  </si>
  <si>
    <t xml:space="preserve">FHIR und Messgrößen</t>
  </si>
  <si>
    <t xml:space="preserve">FHIR-Version, erlaubte Ressourcen, Profile, Einheiten, Zeitfilter und erste Messgröße bestätigen.</t>
  </si>
  <si>
    <t xml:space="preserve">Daten / Betreuung</t>
  </si>
  <si>
    <t xml:space="preserve">Empfehlung (nicht bestätigt): docs/decisions/D02-FHIR.md</t>
  </si>
  <si>
    <t xml:space="preserve">Modell und Laufzeit</t>
  </si>
  <si>
    <t xml:space="preserve">Modell, Lizenz, Zielhardware, Adaptervertrag, Ausgabe-/Zeitlimits und gemessene Latenz festlegen.</t>
  </si>
  <si>
    <t xml:space="preserve">LLM / Team</t>
  </si>
  <si>
    <t xml:space="preserve">Empfehlung (nicht bestätigt): docs/decisions/D03-Modell.md</t>
  </si>
  <si>
    <t xml:space="preserve">Fachliche Inhalte und Regeln</t>
  </si>
  <si>
    <t xml:space="preserve">Je Story kleinen Demo-Umfang, Quellen, Reviewperson und freigegebene Version dokumentieren. Keine pauschale Freigabe aller zukünftigen Regeln.</t>
  </si>
  <si>
    <t xml:space="preserve">Research / Fachbetreuung</t>
  </si>
  <si>
    <t xml:space="preserve">Empfehlung (nicht bestätigt): docs/decisions/D04-Fachinhalte.md</t>
  </si>
  <si>
    <t xml:space="preserve">Identität, Einwilligung und Datenfluss</t>
  </si>
  <si>
    <t xml:space="preserve">Demo-Anmeldung, Freigaben, Widerruf, Logdaten und Löschgrenzen mit Betreuung klären.</t>
  </si>
  <si>
    <t xml:space="preserve">Backend / Datenschutzkontakt</t>
  </si>
  <si>
    <t xml:space="preserve">Empfehlung (nicht bestätigt): docs/decisions/D05-Identitaet-Einwilligung.md</t>
  </si>
  <si>
    <t xml:space="preserve">Speicherung und Kontext</t>
  </si>
  <si>
    <t xml:space="preserve">Speichertechnik, Schema-/Migrationsablauf, Lebensdauer, Backups und Kontextlimit festlegen.</t>
  </si>
  <si>
    <t xml:space="preserve">Backend / Daten</t>
  </si>
  <si>
    <t xml:space="preserve">Empfehlung (nicht bestätigt): docs/decisions/D06-Speicherung.md</t>
  </si>
  <si>
    <t xml:space="preserve">Optionale Funktionen</t>
  </si>
  <si>
    <t xml:space="preserve">Englisch und weitere optionale Stories ausdrücklich auswählen. Aufgaben vorhanden bedeutet nicht MVP-Zusage.</t>
  </si>
  <si>
    <t xml:space="preserve">Koordination / Team</t>
  </si>
  <si>
    <t xml:space="preserve">Empfehlung (nicht bestätigt): docs/decisions/D07-Optionaler-Umfang.md</t>
  </si>
  <si>
    <t xml:space="preserve">VitaSync ist kein Medizinprodukt: welche Funktionen sind erlaubt, welche ausgeschlossen.</t>
  </si>
  <si>
    <t xml:space="preserve">Projektleitung / Betreuung</t>
  </si>
  <si>
    <t xml:space="preserve">Bestätigt</t>
  </si>
  <si>
    <t xml:space="preserve">Vorgabe Projektleitung 14.10.2026; Details docs/decisions/D08-Zweckbestimmung.md. Formale Einschätzung durch Betreuung noch einholen.</t>
  </si>
  <si>
    <t xml:space="preserve">Datenschutz und EU-Recht</t>
  </si>
  <si>
    <t xml:space="preserve">DSGVO-Pflichten, AI Act Art. 50 und Art. 4, TDDDG; Abgrenzung Hochrisiko-KI.</t>
  </si>
  <si>
    <t xml:space="preserve">Team / Betreuung / Datenschutzbeauftragter</t>
  </si>
  <si>
    <t xml:space="preserve">Empfehlung (nicht bestätigt): docs/decisions/D09-Datenschutz-EU.md</t>
  </si>
  <si>
    <t xml:space="preserve">Definition of Done – Meilenstein 1</t>
  </si>
  <si>
    <t xml:space="preserve">Vorschlag aus dem bisherigen Backlog. Referenzen Bxxx/Exxx sind Ursprungs-IDs; Zuordnung siehe Briefings, Spalte Bestandsbezug.</t>
  </si>
  <si>
    <t xml:space="preserve">Bereich / Bezug</t>
  </si>
  <si>
    <t xml:space="preserve">Prüfbares Kriterium</t>
  </si>
  <si>
    <t xml:space="preserve">Nachweis</t>
  </si>
  <si>
    <t xml:space="preserve">Prüfverantwortung</t>
  </si>
  <si>
    <t xml:space="preserve">Nachweis / Link</t>
  </si>
  <si>
    <t xml:space="preserve">DOD1-01</t>
  </si>
  <si>
    <t xml:space="preserve">UX / E001–E002</t>
  </si>
  <si>
    <t xml:space="preserve">Auf Desktop und Smartphone lassen sich Nachricht eingeben, senden und Antwort/Verlauf lesen. Leere Eingaben werden abgefangen; Tastaturbedienung ist möglich.</t>
  </si>
  <si>
    <t xml:space="preserve">Live-Demo in zwei vereinbarten Bildschirmgrößen</t>
  </si>
  <si>
    <t xml:space="preserve">UI / UX</t>
  </si>
  <si>
    <t xml:space="preserve">Probe/geplant: docs/nachweise/M1/DOD1-01.md</t>
  </si>
  <si>
    <t xml:space="preserve">DOD1-02</t>
  </si>
  <si>
    <t xml:space="preserve">Integration / E003, B002, B007</t>
  </si>
  <si>
    <t xml:space="preserve">UI → Backend → lokal betriebenes LLM → UI funktioniert auf der dokumentierten Zielhardware. Ein reines Mockup reicht zur M1-Abnahme nicht.</t>
  </si>
  <si>
    <t xml:space="preserve">End-to-End-Test und dokumentierter Startbefehl</t>
  </si>
  <si>
    <t xml:space="preserve">Backend / LLM</t>
  </si>
  <si>
    <t xml:space="preserve">Probe/geplant: docs/nachweise/M1/DOD1-02.md</t>
  </si>
  <si>
    <t xml:space="preserve">DOD1-03</t>
  </si>
  <si>
    <t xml:space="preserve">Anfrageerkennung / U004, U009</t>
  </si>
  <si>
    <t xml:space="preserve">Gesundheitsfrage, fachfremde Frage und unklare Anfrage werden unterschieden. Validiertes Ausgabeformat und Fehler-Fallback funktionieren. Vorschlag: mindestens 18 von 20 vorher festgelegten Fällen korrekt.</t>
  </si>
  <si>
    <t xml:space="preserve">Versionierter Testdatensatz mit Soll- und Ist-Ergebnis</t>
  </si>
  <si>
    <t xml:space="preserve">Tests / LLM</t>
  </si>
  <si>
    <t xml:space="preserve">Probe/geplant: docs/nachweise/M1/DOD1-03.md</t>
  </si>
  <si>
    <t xml:space="preserve">DOD1-04</t>
  </si>
  <si>
    <t xml:space="preserve">Rückfragen / U010</t>
  </si>
  <si>
    <t xml:space="preserve">Bei fehlenden Informationen wird gezielt nachgefragt. Eine Folgeantwort wird der offenen Rückfrage zugeordnet; kein kompletter Langzeitdialog als M1-Pflicht.</t>
  </si>
  <si>
    <t xml:space="preserve">Mindestens drei Dialogtests mit Folgeantwort</t>
  </si>
  <si>
    <t xml:space="preserve">Backend / Tests</t>
  </si>
  <si>
    <t xml:space="preserve">Probe/geplant: docs/nachweise/M1/DOD1-04.md</t>
  </si>
  <si>
    <t xml:space="preserve">DOD1-05</t>
  </si>
  <si>
    <t xml:space="preserve">Antwortqualität / U009</t>
  </si>
  <si>
    <t xml:space="preserve">Eine allgemeine Gesundheitsfrage erhält eine relevante, kurze Antwort; Fachbegriffe werden erklärt. Quellen und Grenzen sind nachvollziehbar. Vorschlag: Erstantwort maximal 150 Wörter, Details auf Nachfrage.</t>
  </si>
  <si>
    <t xml:space="preserve">Review von fünf repräsentativen Antworten</t>
  </si>
  <si>
    <t xml:space="preserve">Research / Tests</t>
  </si>
  <si>
    <t xml:space="preserve">Probe/geplant: docs/nachweise/M1/DOD1-05.md</t>
  </si>
  <si>
    <t xml:space="preserve">DOD1-06</t>
  </si>
  <si>
    <t xml:space="preserve">Ladezustand / U026</t>
  </si>
  <si>
    <t xml:space="preserve">Nach Senden erscheint innerhalb einer Sekunde ein Status. Nach konfigurierbarem Timeout (Startvorschlag 60 s) erscheinen Fehler und Wiederholen; keine doppelten Nachrichten.</t>
  </si>
  <si>
    <t xml:space="preserve">Erfolgs-, Timeout- und Verbindungsfehlertest; Laufzeitmessung</t>
  </si>
  <si>
    <t xml:space="preserve">UI / Backend</t>
  </si>
  <si>
    <t xml:space="preserve">Probe/geplant: docs/nachweise/M1/DOD1-06.md</t>
  </si>
  <si>
    <t xml:space="preserve">DOD1-07</t>
  </si>
  <si>
    <t xml:space="preserve">Chatfreigabe / U027</t>
  </si>
  <si>
    <t xml:space="preserve">Vor Zustimmung gelangen Eingaben nicht zum Modell. Ablehnung verhindert Verarbeitung. Nach Widerruf werden neue Aufrufe blockiert; verspätete Antworten verworfen. Prüfen auch ohne UI-Sperre.</t>
  </si>
  <si>
    <t xml:space="preserve">Tests für Zustimmung, Ablehnung, Widerruf und direkten API-Aufruf</t>
  </si>
  <si>
    <t xml:space="preserve">Probe/geplant: docs/nachweise/M1/DOD1-07.md</t>
  </si>
  <si>
    <t xml:space="preserve">DOD1-08</t>
  </si>
  <si>
    <t xml:space="preserve">KI-Transparenz / U028</t>
  </si>
  <si>
    <t xml:space="preserve">Versionierter Hinweis wird vor Zustimmung angezeigt. KI-Kennzeichnung bleibt im Header sichtbar; Nutzer erkennen, dass keine ärztliche Diagnose erfolgt.</t>
  </si>
  <si>
    <t xml:space="preserve">Screenshots und manuelle Prüfung des Chatstarts</t>
  </si>
  <si>
    <t xml:space="preserve">UI / Research</t>
  </si>
  <si>
    <t xml:space="preserve">Probe/geplant: docs/nachweise/M1/DOD1-08.md</t>
  </si>
  <si>
    <t xml:space="preserve">DOD1-09</t>
  </si>
  <si>
    <t xml:space="preserve">M1-Grenzen / B001, B003</t>
  </si>
  <si>
    <t xml:space="preserve">Demonstration nutzt ausschließlich synthetische Eingaben. M1 greift nicht auf echte Patientenakten zu; Gesundheitsinhalte werden nicht unbemerkt in Logs gespeichert. Keine Antwort enthält eine individuelle Bewertung, Diagnose oder Dringlichkeitseinstufung (D08).</t>
  </si>
  <si>
    <t xml:space="preserve">Abgestimmter Datenfluss und Prüfung von Logs/Testdaten</t>
  </si>
  <si>
    <t xml:space="preserve">Team / Research</t>
  </si>
  <si>
    <t xml:space="preserve">Probe/geplant: docs/nachweise/M1/DOD1-09.md</t>
  </si>
  <si>
    <t xml:space="preserve">DOD1-10</t>
  </si>
  <si>
    <t xml:space="preserve">Qualität / B005–B006</t>
  </si>
  <si>
    <t xml:space="preserve">Relevante automatisierte Tests laufen erfolgreich. Kein bekannter Fehler blockiert Eingabe, Verarbeitung, Einwilligung oder Ausgabe. Änderungen wurden von einer zweiten Person geprüft.</t>
  </si>
  <si>
    <t xml:space="preserve">Testlauf, Review-Verweis und dokumentierte offene Fehler</t>
  </si>
  <si>
    <t xml:space="preserve">Tests / Review</t>
  </si>
  <si>
    <t xml:space="preserve">Probe/geplant: docs/nachweise/M1/DOD1-10.md</t>
  </si>
  <si>
    <t xml:space="preserve">DOD1-11</t>
  </si>
  <si>
    <t xml:space="preserve">Reproduzierbarkeit / Dokumentation</t>
  </si>
  <si>
    <t xml:space="preserve">Eine zweite Person kann die Version anhand der README starten. Modellversion, Hardware, Konfiguration, Einschränkungen und Entscheidungen sind dokumentiert.</t>
  </si>
  <si>
    <t xml:space="preserve">Startversuch durch zweites Teammitglied und Versionsstand</t>
  </si>
  <si>
    <t xml:space="preserve">Dokumentation</t>
  </si>
  <si>
    <t xml:space="preserve">Probe/geplant: docs/nachweise/M1/DOD1-11.md</t>
  </si>
  <si>
    <t xml:space="preserve">DOD1-12</t>
  </si>
  <si>
    <t xml:space="preserve">Abnahme / M1</t>
  </si>
  <si>
    <t xml:space="preserve">Alle verpflichtenden Kriterien DOD1-01 bis DOD1-11 und DOD1-13 sind erfüllt und im Review bestätigt. Optionale Sprache U017 ist nur bei ausdrücklich erweitertem M1-Umfang verpflichtend.</t>
  </si>
  <si>
    <t xml:space="preserve">Demo, Review-Protokoll und Links auf Nachweise</t>
  </si>
  <si>
    <t xml:space="preserve">Team / Betreuung</t>
  </si>
  <si>
    <t xml:space="preserve">Probe/geplant: docs/nachweise/M1/DOD1-12.md</t>
  </si>
  <si>
    <t xml:space="preserve">DOD1-13</t>
  </si>
  <si>
    <t xml:space="preserve">Datenschutz / D09</t>
  </si>
  <si>
    <t xml:space="preserve">Datenschutzhinweis wird vor der Einwilligung angezeigt und versioniert gespeichert. Verarbeitungsverzeichnis und TOM sind aktuell. Passwörter gehasht. KI-Antworten sind sichtbar und maschinenlesbar gekennzeichnet.</t>
  </si>
  <si>
    <t xml:space="preserve">Dokumente in docs/compliance, Tests für Hashing und Kennzeichnung</t>
  </si>
  <si>
    <t xml:space="preserve">Datenschutz / Security</t>
  </si>
  <si>
    <t xml:space="preserve">Probe/geplant: docs/nachweise/M1/DOD1-13.md</t>
  </si>
</sst>
</file>

<file path=xl/styles.xml><?xml version="1.0" encoding="utf-8"?>
<styleSheet xmlns="http://schemas.openxmlformats.org/spreadsheetml/2006/main">
  <numFmts count="2">
    <numFmt numFmtId="164" formatCode="General"/>
    <numFmt numFmtId="165" formatCode="0.0"/>
  </numFmts>
  <fonts count="8">
    <font>
      <sz val="10"/>
      <name val="Arial"/>
      <family val="2"/>
      <charset val="1"/>
    </font>
    <font>
      <sz val="10"/>
      <name val="Arial"/>
      <family val="0"/>
    </font>
    <font>
      <sz val="10"/>
      <name val="Arial"/>
      <family val="0"/>
    </font>
    <font>
      <sz val="10"/>
      <name val="Arial"/>
      <family val="0"/>
    </font>
    <font>
      <b val="true"/>
      <sz val="16"/>
      <color rgb="FF173B31"/>
      <name val="Arial"/>
      <family val="0"/>
      <charset val="1"/>
    </font>
    <font>
      <sz val="10"/>
      <color rgb="FF526B60"/>
      <name val="Arial"/>
      <family val="0"/>
      <charset val="1"/>
    </font>
    <font>
      <b val="true"/>
      <sz val="11"/>
      <color rgb="FFFFFFFF"/>
      <name val="Arial"/>
      <family val="0"/>
      <charset val="1"/>
    </font>
    <font>
      <sz val="11"/>
      <color rgb="FF173B31"/>
      <name val="Arial"/>
      <family val="0"/>
      <charset val="1"/>
    </font>
  </fonts>
  <fills count="6">
    <fill>
      <patternFill patternType="none"/>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5" fontId="7" fillId="3"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true" applyProtection="false">
      <alignment horizontal="general" vertical="center" textRotation="0" wrapText="true" indent="0" shrinkToFit="false"/>
      <protection locked="true" hidden="false"/>
    </xf>
    <xf numFmtId="164" fontId="7" fillId="5"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ables/table1.xml><?xml version="1.0" encoding="utf-8"?>
<table xmlns="http://schemas.openxmlformats.org/spreadsheetml/2006/main" id="1" name="BriefingsTable" displayName="BriefingsTable" ref="A3:G139" headerRowCount="1" totalsRowCount="0" totalsRowShown="0">
  <autoFilter ref="A3:G139"/>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2.xml><?xml version="1.0" encoding="utf-8"?>
<table xmlns="http://schemas.openxmlformats.org/spreadsheetml/2006/main" id="2"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ables/table3.xml><?xml version="1.0" encoding="utf-8"?>
<table xmlns="http://schemas.openxmlformats.org/spreadsheetml/2006/main" id="3"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4.xml><?xml version="1.0" encoding="utf-8"?>
<table xmlns="http://schemas.openxmlformats.org/spreadsheetml/2006/main" id="4" name="StartTable" displayName="StartTable" ref="A3:C19" headerRowCount="1" totalsRowCount="0" totalsRowShown="0">
  <autoFilter ref="A3:C19"/>
  <tableColumns count="3">
    <tableColumn id="1" name="Bereich"/>
    <tableColumn id="2" name="Anwendung"/>
    <tableColumn id="3" name="Anzahl"/>
  </tableColumns>
</table>
</file>

<file path=xl/tables/table5.xml><?xml version="1.0" encoding="utf-8"?>
<table xmlns="http://schemas.openxmlformats.org/spreadsheetml/2006/main" id="5" name="TasksTable" displayName="TasksTable" ref="A3:T139" headerRowCount="1" totalsRowCount="0" totalsRowShown="0">
  <autoFilter ref="A3:T139"/>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6.xml><?xml version="1.0" encoding="utf-8"?>
<table xmlns="http://schemas.openxmlformats.org/spreadsheetml/2006/main" id="6"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4.xml"/>
</Relationships>
</file>

<file path=xl/worksheets/_rels/sheet2.xml.rels><?xml version="1.0" encoding="UTF-8"?>
<Relationships xmlns="http://schemas.openxmlformats.org/package/2006/relationships"><Relationship Id="rId1" Type="http://schemas.openxmlformats.org/officeDocument/2006/relationships/table" Target="../tables/table6.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25"/>
    <col collapsed="false" customWidth="true" hidden="false" outlineLevel="0" max="3" min="3" style="1" width="15"/>
  </cols>
  <sheetData>
    <row r="1" customFormat="false" ht="27.75" hidden="false" customHeight="true" outlineLevel="0" collapsed="false">
      <c r="A1" s="2" t="s">
        <v>0</v>
      </c>
      <c r="B1" s="2"/>
      <c r="C1" s="2"/>
    </row>
    <row r="2" customFormat="false" ht="30" hidden="false" customHeight="true" outlineLevel="0" collapsed="false">
      <c r="A2" s="3" t="s">
        <v>1</v>
      </c>
      <c r="B2" s="3"/>
      <c r="C2" s="3"/>
    </row>
    <row r="3" customFormat="false" ht="43.5" hidden="false" customHeight="true" outlineLevel="0" collapsed="false">
      <c r="A3" s="4" t="s">
        <v>2</v>
      </c>
      <c r="B3" s="4" t="s">
        <v>3</v>
      </c>
      <c r="C3" s="4" t="s">
        <v>4</v>
      </c>
    </row>
    <row r="4" customFormat="false" ht="67.5" hidden="false" customHeight="true" outlineLevel="0" collapsed="false">
      <c r="A4" s="5" t="s">
        <v>5</v>
      </c>
      <c r="B4" s="5" t="s">
        <v>6</v>
      </c>
      <c r="C4" s="5"/>
    </row>
    <row r="5" customFormat="false" ht="67.5" hidden="false" customHeight="true" outlineLevel="0" collapsed="false">
      <c r="A5" s="6" t="s">
        <v>7</v>
      </c>
      <c r="B5" s="6"/>
      <c r="C5" s="6" t="n">
        <f aca="false">COUNTIFS(Tasks!$M$4:$M$139,"&lt;&gt;Erledigt",Tasks!$M$4:$M$139,"&lt;&gt;Gestrichen")</f>
        <v>123</v>
      </c>
    </row>
    <row r="6" customFormat="false" ht="67.5" hidden="false" customHeight="true" outlineLevel="0" collapsed="false">
      <c r="A6" s="5" t="s">
        <v>8</v>
      </c>
      <c r="B6" s="5"/>
      <c r="C6" s="5" t="n">
        <f aca="false">COUNTIFS(Tasks!$M$4:$M$139,"Erledigt")</f>
        <v>0</v>
      </c>
    </row>
    <row r="7" customFormat="false" ht="67.5" hidden="false" customHeight="true" outlineLevel="0" collapsed="false">
      <c r="A7" s="6" t="s">
        <v>9</v>
      </c>
      <c r="B7" s="6" t="s">
        <v>10</v>
      </c>
      <c r="C7" s="6"/>
    </row>
    <row r="8" customFormat="false" ht="67.5" hidden="false" customHeight="true" outlineLevel="0" collapsed="false">
      <c r="A8" s="5" t="s">
        <v>11</v>
      </c>
      <c r="B8" s="5" t="s">
        <v>12</v>
      </c>
      <c r="C8" s="5"/>
    </row>
    <row r="9" customFormat="false" ht="67.5" hidden="false" customHeight="true" outlineLevel="0" collapsed="false">
      <c r="A9" s="6" t="s">
        <v>13</v>
      </c>
      <c r="B9" s="6" t="s">
        <v>14</v>
      </c>
      <c r="C9" s="6"/>
    </row>
    <row r="10" customFormat="false" ht="67.5" hidden="false" customHeight="true" outlineLevel="0" collapsed="false">
      <c r="A10" s="5" t="s">
        <v>15</v>
      </c>
      <c r="B10" s="5" t="s">
        <v>16</v>
      </c>
      <c r="C10" s="5"/>
    </row>
    <row r="11" customFormat="false" ht="67.5" hidden="false" customHeight="true" outlineLevel="0" collapsed="false">
      <c r="A11" s="6" t="s">
        <v>17</v>
      </c>
      <c r="B11" s="6" t="s">
        <v>18</v>
      </c>
      <c r="C11" s="6"/>
    </row>
    <row r="12" customFormat="false" ht="67.5" hidden="false" customHeight="true" outlineLevel="0" collapsed="false">
      <c r="A12" s="5" t="s">
        <v>19</v>
      </c>
      <c r="B12" s="5" t="s">
        <v>20</v>
      </c>
      <c r="C12" s="5"/>
    </row>
    <row r="13" customFormat="false" ht="67.5" hidden="false" customHeight="true" outlineLevel="0" collapsed="false">
      <c r="A13" s="6" t="s">
        <v>21</v>
      </c>
      <c r="B13" s="6" t="s">
        <v>22</v>
      </c>
      <c r="C13" s="6"/>
    </row>
    <row r="14" customFormat="false" ht="67.5" hidden="false" customHeight="true" outlineLevel="0" collapsed="false">
      <c r="A14" s="5" t="s">
        <v>23</v>
      </c>
      <c r="B14" s="5" t="s">
        <v>24</v>
      </c>
      <c r="C14" s="5"/>
    </row>
    <row r="15" customFormat="false" ht="67.5" hidden="false" customHeight="true" outlineLevel="0" collapsed="false">
      <c r="A15" s="6" t="s">
        <v>25</v>
      </c>
      <c r="B15" s="6" t="s">
        <v>26</v>
      </c>
      <c r="C15" s="6"/>
    </row>
    <row r="16" customFormat="false" ht="67.5" hidden="false" customHeight="true" outlineLevel="0" collapsed="false">
      <c r="A16" s="5" t="s">
        <v>27</v>
      </c>
      <c r="B16" s="5" t="s">
        <v>28</v>
      </c>
      <c r="C16" s="5"/>
    </row>
    <row r="17" customFormat="false" ht="67.5" hidden="false" customHeight="true" outlineLevel="0" collapsed="false">
      <c r="A17" s="5" t="s">
        <v>29</v>
      </c>
      <c r="B17" s="5" t="s">
        <v>30</v>
      </c>
      <c r="C17" s="5"/>
    </row>
    <row r="18" customFormat="false" ht="67.5" hidden="false" customHeight="true" outlineLevel="0" collapsed="false">
      <c r="A18" s="5" t="s">
        <v>31</v>
      </c>
      <c r="B18" s="5"/>
      <c r="C18" s="5" t="n">
        <f aca="false">COUNTIFS(Tasks!$M$4:$M$139,"Gestrichen")</f>
        <v>13</v>
      </c>
    </row>
    <row r="19" customFormat="false" ht="67.5" hidden="false" customHeight="true" outlineLevel="0" collapsed="false">
      <c r="A19" s="5" t="s">
        <v>32</v>
      </c>
      <c r="B19" s="5" t="s">
        <v>33</v>
      </c>
      <c r="C19" s="5"/>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3"/>
    <col collapsed="false" customWidth="true" hidden="false" outlineLevel="0" max="3" min="3" style="1" width="31"/>
    <col collapsed="false" customWidth="true" hidden="false" outlineLevel="0" max="4" min="4" style="1" width="75"/>
    <col collapsed="false" customWidth="true" hidden="false" outlineLevel="0" max="6" min="5" style="1" width="14"/>
    <col collapsed="false" customWidth="true" hidden="false" outlineLevel="0" max="7" min="7" style="1" width="12"/>
    <col collapsed="false" customWidth="true" hidden="false" outlineLevel="0" max="8" min="8" style="1" width="10"/>
    <col collapsed="false" customWidth="true" hidden="false" outlineLevel="0" max="9" min="9" style="1" width="25"/>
    <col collapsed="false" customWidth="true" hidden="false" outlineLevel="0" max="10" min="10" style="1" width="10"/>
    <col collapsed="false" customWidth="true" hidden="false" outlineLevel="0" max="11" min="11" style="1" width="74"/>
    <col collapsed="false" customWidth="true" hidden="false" outlineLevel="0" max="12" min="12" style="1" width="18"/>
    <col collapsed="false" customWidth="true" hidden="false" outlineLevel="0" max="13" min="13" style="1" width="60"/>
  </cols>
  <sheetData>
    <row r="1" customFormat="false" ht="27.75" hidden="false" customHeight="true" outlineLevel="0" collapsed="false">
      <c r="A1" s="2" t="s">
        <v>34</v>
      </c>
      <c r="B1" s="2"/>
      <c r="C1" s="2"/>
      <c r="D1" s="2"/>
      <c r="E1" s="2"/>
      <c r="F1" s="2"/>
      <c r="G1" s="2"/>
      <c r="H1" s="2"/>
      <c r="I1" s="2"/>
      <c r="J1" s="2"/>
      <c r="K1" s="2"/>
    </row>
    <row r="2" customFormat="false" ht="30" hidden="false" customHeight="true" outlineLevel="0" collapsed="false">
      <c r="A2" s="3" t="s">
        <v>35</v>
      </c>
      <c r="B2" s="3"/>
      <c r="C2" s="3"/>
      <c r="D2" s="3"/>
      <c r="E2" s="3"/>
      <c r="F2" s="3"/>
      <c r="G2" s="3"/>
      <c r="H2" s="3"/>
      <c r="I2" s="3"/>
      <c r="J2" s="3"/>
      <c r="K2" s="3"/>
    </row>
    <row r="3" customFormat="false" ht="43.5" hidden="false" customHeight="true" outlineLevel="0" collapsed="false">
      <c r="A3" s="4" t="s">
        <v>36</v>
      </c>
      <c r="B3" s="4" t="s">
        <v>37</v>
      </c>
      <c r="C3" s="4" t="s">
        <v>38</v>
      </c>
      <c r="D3" s="4" t="s">
        <v>39</v>
      </c>
      <c r="E3" s="4" t="s">
        <v>40</v>
      </c>
      <c r="F3" s="4" t="s">
        <v>41</v>
      </c>
      <c r="G3" s="4" t="s">
        <v>42</v>
      </c>
      <c r="H3" s="4" t="s">
        <v>43</v>
      </c>
      <c r="I3" s="4" t="s">
        <v>44</v>
      </c>
      <c r="J3" s="4" t="s">
        <v>45</v>
      </c>
      <c r="K3" s="4" t="s">
        <v>46</v>
      </c>
      <c r="L3" s="4" t="s">
        <v>47</v>
      </c>
      <c r="M3" s="4" t="s">
        <v>48</v>
      </c>
    </row>
    <row r="4" customFormat="false" ht="109.5" hidden="false" customHeight="true" outlineLevel="0" collapsed="false">
      <c r="A4" s="5" t="s">
        <v>49</v>
      </c>
      <c r="B4" s="5" t="s">
        <v>50</v>
      </c>
      <c r="C4" s="5" t="s">
        <v>51</v>
      </c>
      <c r="D4" s="5" t="s">
        <v>52</v>
      </c>
      <c r="E4" s="5" t="n">
        <v>4</v>
      </c>
      <c r="F4" s="5" t="n">
        <v>5</v>
      </c>
      <c r="G4" s="7" t="n">
        <f aca="false">(E4+F4)/2</f>
        <v>4.5</v>
      </c>
      <c r="H4" s="5" t="n">
        <v>21</v>
      </c>
      <c r="I4" s="5" t="s">
        <v>53</v>
      </c>
      <c r="J4" s="5" t="n">
        <f aca="false">COUNTIFS(Tasks!$B$4:$B$139,A4,Tasks!$M$4:$M$139,"&lt;&gt;Gestrichen")</f>
        <v>5</v>
      </c>
      <c r="K4" s="5" t="s">
        <v>54</v>
      </c>
      <c r="L4" s="5" t="s">
        <v>55</v>
      </c>
      <c r="M4" s="5" t="s">
        <v>56</v>
      </c>
    </row>
    <row r="5" customFormat="false" ht="109.5" hidden="false" customHeight="true" outlineLevel="0" collapsed="false">
      <c r="A5" s="6" t="s">
        <v>57</v>
      </c>
      <c r="B5" s="6" t="s">
        <v>58</v>
      </c>
      <c r="C5" s="6" t="s">
        <v>59</v>
      </c>
      <c r="D5" s="6" t="s">
        <v>60</v>
      </c>
      <c r="E5" s="6" t="n">
        <v>4</v>
      </c>
      <c r="F5" s="6" t="n">
        <v>4</v>
      </c>
      <c r="G5" s="8" t="n">
        <f aca="false">(E5+F5)/2</f>
        <v>4</v>
      </c>
      <c r="H5" s="6" t="n">
        <v>13</v>
      </c>
      <c r="I5" s="6" t="s">
        <v>61</v>
      </c>
      <c r="J5" s="6" t="n">
        <f aca="false">COUNTIFS(Tasks!$B$4:$B$139,A5,Tasks!$M$4:$M$139,"&lt;&gt;Gestrichen")</f>
        <v>0</v>
      </c>
      <c r="K5" s="6" t="s">
        <v>62</v>
      </c>
      <c r="L5" s="6" t="s">
        <v>61</v>
      </c>
      <c r="M5" s="6" t="s">
        <v>63</v>
      </c>
    </row>
    <row r="6" customFormat="false" ht="109.5" hidden="false" customHeight="true" outlineLevel="0" collapsed="false">
      <c r="A6" s="5" t="s">
        <v>64</v>
      </c>
      <c r="B6" s="5" t="s">
        <v>58</v>
      </c>
      <c r="C6" s="5" t="s">
        <v>65</v>
      </c>
      <c r="D6" s="5" t="s">
        <v>66</v>
      </c>
      <c r="E6" s="5" t="n">
        <v>5</v>
      </c>
      <c r="F6" s="5" t="n">
        <v>5</v>
      </c>
      <c r="G6" s="7" t="n">
        <f aca="false">(E6+F6)/2</f>
        <v>5</v>
      </c>
      <c r="H6" s="5" t="n">
        <v>21</v>
      </c>
      <c r="I6" s="5" t="s">
        <v>61</v>
      </c>
      <c r="J6" s="5" t="n">
        <f aca="false">COUNTIFS(Tasks!$B$4:$B$139,A6,Tasks!$M$4:$M$139,"&lt;&gt;Gestrichen")</f>
        <v>0</v>
      </c>
      <c r="K6" s="5" t="s">
        <v>67</v>
      </c>
      <c r="L6" s="5" t="s">
        <v>61</v>
      </c>
      <c r="M6" s="5" t="s">
        <v>68</v>
      </c>
    </row>
    <row r="7" customFormat="false" ht="109.5" hidden="false" customHeight="true" outlineLevel="0" collapsed="false">
      <c r="A7" s="6" t="s">
        <v>69</v>
      </c>
      <c r="B7" s="6" t="s">
        <v>70</v>
      </c>
      <c r="C7" s="6" t="s">
        <v>71</v>
      </c>
      <c r="D7" s="6" t="s">
        <v>72</v>
      </c>
      <c r="E7" s="6" t="n">
        <v>1</v>
      </c>
      <c r="F7" s="6" t="n">
        <v>1</v>
      </c>
      <c r="G7" s="8" t="n">
        <f aca="false">(E7+F7)/2</f>
        <v>1</v>
      </c>
      <c r="H7" s="6" t="n">
        <v>3</v>
      </c>
      <c r="I7" s="6" t="s">
        <v>53</v>
      </c>
      <c r="J7" s="6" t="n">
        <f aca="false">COUNTIFS(Tasks!$B$4:$B$139,A7,Tasks!$M$4:$M$139,"&lt;&gt;Gestrichen")</f>
        <v>3</v>
      </c>
      <c r="K7" s="6" t="s">
        <v>73</v>
      </c>
      <c r="L7" s="6" t="s">
        <v>74</v>
      </c>
      <c r="M7" s="6"/>
    </row>
    <row r="8" customFormat="false" ht="109.5" hidden="false" customHeight="true" outlineLevel="0" collapsed="false">
      <c r="A8" s="5" t="s">
        <v>75</v>
      </c>
      <c r="B8" s="5" t="s">
        <v>76</v>
      </c>
      <c r="C8" s="5" t="s">
        <v>77</v>
      </c>
      <c r="D8" s="5" t="s">
        <v>78</v>
      </c>
      <c r="E8" s="5" t="n">
        <v>5</v>
      </c>
      <c r="F8" s="5" t="n">
        <v>4</v>
      </c>
      <c r="G8" s="7" t="n">
        <f aca="false">(E8+F8)/2</f>
        <v>4.5</v>
      </c>
      <c r="H8" s="5" t="n">
        <v>13</v>
      </c>
      <c r="I8" s="5" t="s">
        <v>53</v>
      </c>
      <c r="J8" s="5" t="n">
        <f aca="false">COUNTIFS(Tasks!$B$4:$B$139,A8,Tasks!$M$4:$M$139,"&lt;&gt;Gestrichen")</f>
        <v>4</v>
      </c>
      <c r="K8" s="5" t="s">
        <v>79</v>
      </c>
      <c r="L8" s="5" t="s">
        <v>74</v>
      </c>
      <c r="M8" s="5"/>
    </row>
    <row r="9" customFormat="false" ht="109.5" hidden="false" customHeight="true" outlineLevel="0" collapsed="false">
      <c r="A9" s="6" t="s">
        <v>80</v>
      </c>
      <c r="B9" s="6" t="s">
        <v>58</v>
      </c>
      <c r="C9" s="6" t="s">
        <v>81</v>
      </c>
      <c r="D9" s="6" t="s">
        <v>82</v>
      </c>
      <c r="E9" s="6" t="n">
        <v>4</v>
      </c>
      <c r="F9" s="6" t="n">
        <v>4</v>
      </c>
      <c r="G9" s="8" t="n">
        <f aca="false">(E9+F9)/2</f>
        <v>4</v>
      </c>
      <c r="H9" s="6" t="n">
        <v>13</v>
      </c>
      <c r="I9" s="6" t="s">
        <v>53</v>
      </c>
      <c r="J9" s="6" t="n">
        <f aca="false">COUNTIFS(Tasks!$B$4:$B$139,A9,Tasks!$M$4:$M$139,"&lt;&gt;Gestrichen")</f>
        <v>5</v>
      </c>
      <c r="K9" s="6" t="s">
        <v>83</v>
      </c>
      <c r="L9" s="6" t="s">
        <v>55</v>
      </c>
      <c r="M9" s="6" t="s">
        <v>84</v>
      </c>
    </row>
    <row r="10" customFormat="false" ht="109.5" hidden="false" customHeight="true" outlineLevel="0" collapsed="false">
      <c r="A10" s="5" t="s">
        <v>85</v>
      </c>
      <c r="B10" s="5" t="s">
        <v>76</v>
      </c>
      <c r="C10" s="5" t="s">
        <v>86</v>
      </c>
      <c r="D10" s="5" t="s">
        <v>87</v>
      </c>
      <c r="E10" s="5" t="n">
        <v>3</v>
      </c>
      <c r="F10" s="5" t="n">
        <v>2</v>
      </c>
      <c r="G10" s="7" t="n">
        <f aca="false">(E10+F10)/2</f>
        <v>2.5</v>
      </c>
      <c r="H10" s="5" t="n">
        <v>8</v>
      </c>
      <c r="I10" s="5" t="s">
        <v>53</v>
      </c>
      <c r="J10" s="5" t="n">
        <f aca="false">COUNTIFS(Tasks!$B$4:$B$139,A10,Tasks!$M$4:$M$139,"&lt;&gt;Gestrichen")</f>
        <v>4</v>
      </c>
      <c r="K10" s="5" t="s">
        <v>88</v>
      </c>
      <c r="L10" s="5" t="s">
        <v>74</v>
      </c>
      <c r="M10" s="5"/>
    </row>
    <row r="11" customFormat="false" ht="109.5" hidden="false" customHeight="true" outlineLevel="0" collapsed="false">
      <c r="A11" s="6" t="s">
        <v>89</v>
      </c>
      <c r="B11" s="6" t="s">
        <v>58</v>
      </c>
      <c r="C11" s="6" t="s">
        <v>90</v>
      </c>
      <c r="D11" s="6" t="s">
        <v>91</v>
      </c>
      <c r="E11" s="6" t="n">
        <v>4</v>
      </c>
      <c r="F11" s="6" t="n">
        <v>5</v>
      </c>
      <c r="G11" s="8" t="n">
        <f aca="false">(E11+F11)/2</f>
        <v>4.5</v>
      </c>
      <c r="H11" s="6" t="n">
        <v>21</v>
      </c>
      <c r="I11" s="6" t="s">
        <v>53</v>
      </c>
      <c r="J11" s="6" t="n">
        <f aca="false">COUNTIFS(Tasks!$B$4:$B$139,A11,Tasks!$M$4:$M$139,"&lt;&gt;Gestrichen")</f>
        <v>3</v>
      </c>
      <c r="K11" s="6" t="s">
        <v>92</v>
      </c>
      <c r="L11" s="6" t="s">
        <v>55</v>
      </c>
      <c r="M11" s="6" t="s">
        <v>93</v>
      </c>
    </row>
    <row r="12" customFormat="false" ht="109.5" hidden="false" customHeight="true" outlineLevel="0" collapsed="false">
      <c r="A12" s="5" t="s">
        <v>94</v>
      </c>
      <c r="B12" s="5" t="s">
        <v>70</v>
      </c>
      <c r="C12" s="5" t="s">
        <v>95</v>
      </c>
      <c r="D12" s="5" t="s">
        <v>96</v>
      </c>
      <c r="E12" s="5" t="n">
        <v>2</v>
      </c>
      <c r="F12" s="5" t="n">
        <v>3</v>
      </c>
      <c r="G12" s="7" t="n">
        <f aca="false">(E12+F12)/2</f>
        <v>2.5</v>
      </c>
      <c r="H12" s="5" t="n">
        <v>5</v>
      </c>
      <c r="I12" s="5" t="s">
        <v>53</v>
      </c>
      <c r="J12" s="5" t="n">
        <f aca="false">COUNTIFS(Tasks!$B$4:$B$139,A12,Tasks!$M$4:$M$139,"&lt;&gt;Gestrichen")</f>
        <v>4</v>
      </c>
      <c r="K12" s="5" t="s">
        <v>97</v>
      </c>
      <c r="L12" s="5" t="s">
        <v>74</v>
      </c>
      <c r="M12" s="5"/>
    </row>
    <row r="13" customFormat="false" ht="109.5" hidden="false" customHeight="true" outlineLevel="0" collapsed="false">
      <c r="A13" s="6" t="s">
        <v>98</v>
      </c>
      <c r="B13" s="6" t="s">
        <v>70</v>
      </c>
      <c r="C13" s="6" t="s">
        <v>99</v>
      </c>
      <c r="D13" s="6" t="s">
        <v>100</v>
      </c>
      <c r="E13" s="6" t="n">
        <v>3</v>
      </c>
      <c r="F13" s="6" t="n">
        <v>3</v>
      </c>
      <c r="G13" s="8" t="n">
        <f aca="false">(E13+F13)/2</f>
        <v>3</v>
      </c>
      <c r="H13" s="6" t="n">
        <v>8</v>
      </c>
      <c r="I13" s="6" t="s">
        <v>53</v>
      </c>
      <c r="J13" s="6" t="n">
        <f aca="false">COUNTIFS(Tasks!$B$4:$B$139,A13,Tasks!$M$4:$M$139,"&lt;&gt;Gestrichen")</f>
        <v>3</v>
      </c>
      <c r="K13" s="6" t="s">
        <v>101</v>
      </c>
      <c r="L13" s="6" t="s">
        <v>74</v>
      </c>
      <c r="M13" s="6"/>
    </row>
    <row r="14" customFormat="false" ht="109.5" hidden="false" customHeight="true" outlineLevel="0" collapsed="false">
      <c r="A14" s="5" t="s">
        <v>102</v>
      </c>
      <c r="B14" s="5" t="s">
        <v>76</v>
      </c>
      <c r="C14" s="5" t="s">
        <v>103</v>
      </c>
      <c r="D14" s="5" t="s">
        <v>104</v>
      </c>
      <c r="E14" s="5" t="n">
        <v>3</v>
      </c>
      <c r="F14" s="5" t="n">
        <v>2</v>
      </c>
      <c r="G14" s="7" t="n">
        <f aca="false">(E14+F14)/2</f>
        <v>2.5</v>
      </c>
      <c r="H14" s="5" t="n">
        <v>5</v>
      </c>
      <c r="I14" s="5" t="s">
        <v>53</v>
      </c>
      <c r="J14" s="5" t="n">
        <f aca="false">COUNTIFS(Tasks!$B$4:$B$139,A14,Tasks!$M$4:$M$139,"&lt;&gt;Gestrichen")</f>
        <v>3</v>
      </c>
      <c r="K14" s="5" t="s">
        <v>105</v>
      </c>
      <c r="L14" s="5" t="s">
        <v>74</v>
      </c>
      <c r="M14" s="5"/>
    </row>
    <row r="15" customFormat="false" ht="109.5" hidden="false" customHeight="true" outlineLevel="0" collapsed="false">
      <c r="A15" s="6" t="s">
        <v>106</v>
      </c>
      <c r="B15" s="6" t="s">
        <v>50</v>
      </c>
      <c r="C15" s="6" t="s">
        <v>107</v>
      </c>
      <c r="D15" s="6" t="s">
        <v>108</v>
      </c>
      <c r="E15" s="6" t="n">
        <v>3</v>
      </c>
      <c r="F15" s="6" t="n">
        <v>2</v>
      </c>
      <c r="G15" s="8" t="n">
        <f aca="false">(E15+F15)/2</f>
        <v>2.5</v>
      </c>
      <c r="H15" s="6" t="n">
        <v>5</v>
      </c>
      <c r="I15" s="6" t="s">
        <v>53</v>
      </c>
      <c r="J15" s="6" t="n">
        <f aca="false">COUNTIFS(Tasks!$B$4:$B$139,A15,Tasks!$M$4:$M$139,"&lt;&gt;Gestrichen")</f>
        <v>3</v>
      </c>
      <c r="K15" s="6" t="s">
        <v>109</v>
      </c>
      <c r="L15" s="6" t="s">
        <v>74</v>
      </c>
      <c r="M15" s="6"/>
    </row>
    <row r="16" customFormat="false" ht="109.5" hidden="false" customHeight="true" outlineLevel="0" collapsed="false">
      <c r="A16" s="5" t="s">
        <v>110</v>
      </c>
      <c r="B16" s="5" t="s">
        <v>50</v>
      </c>
      <c r="C16" s="5" t="s">
        <v>111</v>
      </c>
      <c r="D16" s="5" t="s">
        <v>112</v>
      </c>
      <c r="E16" s="5" t="n">
        <v>4</v>
      </c>
      <c r="F16" s="5" t="n">
        <v>2</v>
      </c>
      <c r="G16" s="7" t="n">
        <f aca="false">(E16+F16)/2</f>
        <v>3</v>
      </c>
      <c r="H16" s="5" t="n">
        <v>8</v>
      </c>
      <c r="I16" s="5" t="s">
        <v>53</v>
      </c>
      <c r="J16" s="5" t="n">
        <f aca="false">COUNTIFS(Tasks!$B$4:$B$139,A16,Tasks!$M$4:$M$139,"&lt;&gt;Gestrichen")</f>
        <v>3</v>
      </c>
      <c r="K16" s="5" t="s">
        <v>113</v>
      </c>
      <c r="L16" s="5" t="s">
        <v>55</v>
      </c>
      <c r="M16" s="5" t="s">
        <v>114</v>
      </c>
    </row>
    <row r="17" customFormat="false" ht="109.5" hidden="false" customHeight="true" outlineLevel="0" collapsed="false">
      <c r="A17" s="6" t="s">
        <v>115</v>
      </c>
      <c r="B17" s="6" t="s">
        <v>50</v>
      </c>
      <c r="C17" s="6" t="s">
        <v>116</v>
      </c>
      <c r="D17" s="6" t="s">
        <v>117</v>
      </c>
      <c r="E17" s="6" t="n">
        <v>3</v>
      </c>
      <c r="F17" s="6" t="n">
        <v>3</v>
      </c>
      <c r="G17" s="8" t="n">
        <f aca="false">(E17+F17)/2</f>
        <v>3</v>
      </c>
      <c r="H17" s="6" t="n">
        <v>8</v>
      </c>
      <c r="I17" s="6" t="s">
        <v>118</v>
      </c>
      <c r="J17" s="6" t="n">
        <f aca="false">COUNTIFS(Tasks!$B$4:$B$139,A17,Tasks!$M$4:$M$139,"&lt;&gt;Gestrichen")</f>
        <v>4</v>
      </c>
      <c r="K17" s="6" t="s">
        <v>119</v>
      </c>
      <c r="L17" s="6" t="s">
        <v>55</v>
      </c>
      <c r="M17" s="6" t="s">
        <v>120</v>
      </c>
    </row>
    <row r="18" customFormat="false" ht="109.5" hidden="false" customHeight="true" outlineLevel="0" collapsed="false">
      <c r="A18" s="5" t="s">
        <v>121</v>
      </c>
      <c r="B18" s="5" t="s">
        <v>50</v>
      </c>
      <c r="C18" s="5" t="s">
        <v>122</v>
      </c>
      <c r="D18" s="5" t="s">
        <v>123</v>
      </c>
      <c r="E18" s="5" t="n">
        <v>2</v>
      </c>
      <c r="F18" s="5" t="n">
        <v>2</v>
      </c>
      <c r="G18" s="7" t="n">
        <f aca="false">(E18+F18)/2</f>
        <v>2</v>
      </c>
      <c r="H18" s="5" t="n">
        <v>5</v>
      </c>
      <c r="I18" s="5" t="s">
        <v>118</v>
      </c>
      <c r="J18" s="5" t="n">
        <f aca="false">COUNTIFS(Tasks!$B$4:$B$139,A18,Tasks!$M$4:$M$139,"&lt;&gt;Gestrichen")</f>
        <v>3</v>
      </c>
      <c r="K18" s="5" t="s">
        <v>124</v>
      </c>
      <c r="L18" s="5" t="s">
        <v>74</v>
      </c>
      <c r="M18" s="5"/>
    </row>
    <row r="19" customFormat="false" ht="109.5" hidden="false" customHeight="true" outlineLevel="0" collapsed="false">
      <c r="A19" s="6" t="s">
        <v>125</v>
      </c>
      <c r="B19" s="6" t="s">
        <v>58</v>
      </c>
      <c r="C19" s="6" t="s">
        <v>126</v>
      </c>
      <c r="D19" s="6" t="s">
        <v>127</v>
      </c>
      <c r="E19" s="6" t="n">
        <v>3</v>
      </c>
      <c r="F19" s="6" t="n">
        <v>3</v>
      </c>
      <c r="G19" s="8" t="n">
        <f aca="false">(E19+F19)/2</f>
        <v>3</v>
      </c>
      <c r="H19" s="6" t="n">
        <v>8</v>
      </c>
      <c r="I19" s="6" t="s">
        <v>128</v>
      </c>
      <c r="J19" s="6" t="n">
        <f aca="false">COUNTIFS(Tasks!$B$4:$B$139,A19,Tasks!$M$4:$M$139,"&lt;&gt;Gestrichen")</f>
        <v>3</v>
      </c>
      <c r="K19" s="6" t="s">
        <v>129</v>
      </c>
      <c r="L19" s="6" t="s">
        <v>74</v>
      </c>
      <c r="M19" s="6"/>
    </row>
    <row r="20" customFormat="false" ht="109.5" hidden="false" customHeight="true" outlineLevel="0" collapsed="false">
      <c r="A20" s="5" t="s">
        <v>130</v>
      </c>
      <c r="B20" s="5" t="s">
        <v>70</v>
      </c>
      <c r="C20" s="5" t="s">
        <v>131</v>
      </c>
      <c r="D20" s="5" t="s">
        <v>132</v>
      </c>
      <c r="E20" s="5" t="n">
        <v>3</v>
      </c>
      <c r="F20" s="5" t="n">
        <v>4</v>
      </c>
      <c r="G20" s="7" t="n">
        <f aca="false">(E20+F20)/2</f>
        <v>3.5</v>
      </c>
      <c r="H20" s="5" t="n">
        <v>8</v>
      </c>
      <c r="I20" s="5" t="s">
        <v>128</v>
      </c>
      <c r="J20" s="5" t="n">
        <f aca="false">COUNTIFS(Tasks!$B$4:$B$139,A20,Tasks!$M$4:$M$139,"&lt;&gt;Gestrichen")</f>
        <v>3</v>
      </c>
      <c r="K20" s="5" t="s">
        <v>133</v>
      </c>
      <c r="L20" s="5" t="s">
        <v>74</v>
      </c>
      <c r="M20" s="5"/>
    </row>
    <row r="21" customFormat="false" ht="109.5" hidden="false" customHeight="true" outlineLevel="0" collapsed="false">
      <c r="A21" s="6" t="s">
        <v>134</v>
      </c>
      <c r="B21" s="6" t="s">
        <v>58</v>
      </c>
      <c r="C21" s="6" t="s">
        <v>135</v>
      </c>
      <c r="D21" s="6" t="s">
        <v>136</v>
      </c>
      <c r="E21" s="6" t="n">
        <v>4</v>
      </c>
      <c r="F21" s="6" t="n">
        <v>5</v>
      </c>
      <c r="G21" s="8" t="n">
        <f aca="false">(E21+F21)/2</f>
        <v>4.5</v>
      </c>
      <c r="H21" s="6" t="n">
        <v>13</v>
      </c>
      <c r="I21" s="6" t="s">
        <v>61</v>
      </c>
      <c r="J21" s="6" t="n">
        <f aca="false">COUNTIFS(Tasks!$B$4:$B$139,A21,Tasks!$M$4:$M$139,"&lt;&gt;Gestrichen")</f>
        <v>0</v>
      </c>
      <c r="K21" s="6" t="s">
        <v>137</v>
      </c>
      <c r="L21" s="6" t="s">
        <v>61</v>
      </c>
      <c r="M21" s="6" t="s">
        <v>138</v>
      </c>
    </row>
    <row r="22" customFormat="false" ht="109.5" hidden="false" customHeight="true" outlineLevel="0" collapsed="false">
      <c r="A22" s="5" t="s">
        <v>139</v>
      </c>
      <c r="B22" s="5" t="s">
        <v>76</v>
      </c>
      <c r="C22" s="5" t="s">
        <v>140</v>
      </c>
      <c r="D22" s="5" t="s">
        <v>141</v>
      </c>
      <c r="E22" s="5" t="n">
        <v>4</v>
      </c>
      <c r="F22" s="5" t="n">
        <v>3</v>
      </c>
      <c r="G22" s="7" t="n">
        <f aca="false">(E22+F22)/2</f>
        <v>3.5</v>
      </c>
      <c r="H22" s="5" t="n">
        <v>13</v>
      </c>
      <c r="I22" s="5" t="s">
        <v>128</v>
      </c>
      <c r="J22" s="5" t="n">
        <f aca="false">COUNTIFS(Tasks!$B$4:$B$139,A22,Tasks!$M$4:$M$139,"&lt;&gt;Gestrichen")</f>
        <v>4</v>
      </c>
      <c r="K22" s="5" t="s">
        <v>142</v>
      </c>
      <c r="L22" s="5" t="s">
        <v>55</v>
      </c>
      <c r="M22" s="5" t="s">
        <v>143</v>
      </c>
    </row>
    <row r="23" customFormat="false" ht="109.5" hidden="false" customHeight="true" outlineLevel="0" collapsed="false">
      <c r="A23" s="6" t="s">
        <v>144</v>
      </c>
      <c r="B23" s="6" t="s">
        <v>58</v>
      </c>
      <c r="C23" s="6" t="s">
        <v>145</v>
      </c>
      <c r="D23" s="6" t="s">
        <v>146</v>
      </c>
      <c r="E23" s="6" t="n">
        <v>4</v>
      </c>
      <c r="F23" s="6" t="n">
        <v>3</v>
      </c>
      <c r="G23" s="8" t="n">
        <f aca="false">(E23+F23)/2</f>
        <v>3.5</v>
      </c>
      <c r="H23" s="6" t="n">
        <v>13</v>
      </c>
      <c r="I23" s="6" t="s">
        <v>128</v>
      </c>
      <c r="J23" s="6" t="n">
        <f aca="false">COUNTIFS(Tasks!$B$4:$B$139,A23,Tasks!$M$4:$M$139,"&lt;&gt;Gestrichen")</f>
        <v>4</v>
      </c>
      <c r="K23" s="6" t="s">
        <v>147</v>
      </c>
      <c r="L23" s="6" t="s">
        <v>74</v>
      </c>
      <c r="M23" s="6"/>
    </row>
    <row r="24" customFormat="false" ht="109.5" hidden="false" customHeight="true" outlineLevel="0" collapsed="false">
      <c r="A24" s="5" t="s">
        <v>148</v>
      </c>
      <c r="B24" s="5" t="s">
        <v>50</v>
      </c>
      <c r="C24" s="5" t="s">
        <v>149</v>
      </c>
      <c r="D24" s="5" t="s">
        <v>150</v>
      </c>
      <c r="E24" s="5" t="n">
        <v>4</v>
      </c>
      <c r="F24" s="5" t="n">
        <v>3</v>
      </c>
      <c r="G24" s="7" t="n">
        <f aca="false">(E24+F24)/2</f>
        <v>3.5</v>
      </c>
      <c r="H24" s="5" t="n">
        <v>8</v>
      </c>
      <c r="I24" s="5" t="s">
        <v>118</v>
      </c>
      <c r="J24" s="5" t="n">
        <f aca="false">COUNTIFS(Tasks!$B$4:$B$139,A24,Tasks!$M$4:$M$139,"&lt;&gt;Gestrichen")</f>
        <v>3</v>
      </c>
      <c r="K24" s="5" t="s">
        <v>151</v>
      </c>
      <c r="L24" s="5" t="s">
        <v>74</v>
      </c>
      <c r="M24" s="5"/>
    </row>
    <row r="25" customFormat="false" ht="109.5" hidden="false" customHeight="true" outlineLevel="0" collapsed="false">
      <c r="A25" s="6" t="s">
        <v>152</v>
      </c>
      <c r="B25" s="6" t="s">
        <v>76</v>
      </c>
      <c r="C25" s="6" t="s">
        <v>153</v>
      </c>
      <c r="D25" s="6" t="s">
        <v>154</v>
      </c>
      <c r="E25" s="6" t="n">
        <v>4</v>
      </c>
      <c r="F25" s="6" t="n">
        <v>4</v>
      </c>
      <c r="G25" s="8" t="n">
        <f aca="false">(E25+F25)/2</f>
        <v>4</v>
      </c>
      <c r="H25" s="6" t="n">
        <v>13</v>
      </c>
      <c r="I25" s="6" t="s">
        <v>128</v>
      </c>
      <c r="J25" s="6" t="n">
        <f aca="false">COUNTIFS(Tasks!$B$4:$B$139,A25,Tasks!$M$4:$M$139,"&lt;&gt;Gestrichen")</f>
        <v>5</v>
      </c>
      <c r="K25" s="6" t="s">
        <v>155</v>
      </c>
      <c r="L25" s="6" t="s">
        <v>74</v>
      </c>
      <c r="M25" s="6"/>
    </row>
    <row r="26" customFormat="false" ht="109.5" hidden="false" customHeight="true" outlineLevel="0" collapsed="false">
      <c r="A26" s="5" t="s">
        <v>156</v>
      </c>
      <c r="B26" s="5" t="s">
        <v>76</v>
      </c>
      <c r="C26" s="5" t="s">
        <v>157</v>
      </c>
      <c r="D26" s="5" t="s">
        <v>158</v>
      </c>
      <c r="E26" s="5" t="n">
        <v>4</v>
      </c>
      <c r="F26" s="5" t="n">
        <v>5</v>
      </c>
      <c r="G26" s="7" t="n">
        <f aca="false">(E26+F26)/2</f>
        <v>4.5</v>
      </c>
      <c r="H26" s="5" t="n">
        <v>13</v>
      </c>
      <c r="I26" s="5" t="s">
        <v>159</v>
      </c>
      <c r="J26" s="5" t="n">
        <f aca="false">COUNTIFS(Tasks!$B$4:$B$139,A26,Tasks!$M$4:$M$139,"&lt;&gt;Gestrichen")</f>
        <v>4</v>
      </c>
      <c r="K26" s="5" t="s">
        <v>160</v>
      </c>
      <c r="L26" s="5" t="s">
        <v>74</v>
      </c>
      <c r="M26" s="5"/>
    </row>
    <row r="27" customFormat="false" ht="109.5" hidden="false" customHeight="true" outlineLevel="0" collapsed="false">
      <c r="A27" s="6" t="s">
        <v>161</v>
      </c>
      <c r="B27" s="6" t="s">
        <v>76</v>
      </c>
      <c r="C27" s="6" t="s">
        <v>162</v>
      </c>
      <c r="D27" s="6" t="s">
        <v>163</v>
      </c>
      <c r="E27" s="6" t="n">
        <v>4</v>
      </c>
      <c r="F27" s="6" t="n">
        <v>4</v>
      </c>
      <c r="G27" s="8" t="n">
        <f aca="false">(E27+F27)/2</f>
        <v>4</v>
      </c>
      <c r="H27" s="6" t="n">
        <v>13</v>
      </c>
      <c r="I27" s="6" t="s">
        <v>159</v>
      </c>
      <c r="J27" s="6" t="n">
        <f aca="false">COUNTIFS(Tasks!$B$4:$B$139,A27,Tasks!$M$4:$M$139,"&lt;&gt;Gestrichen")</f>
        <v>4</v>
      </c>
      <c r="K27" s="6" t="s">
        <v>164</v>
      </c>
      <c r="L27" s="6" t="s">
        <v>74</v>
      </c>
      <c r="M27" s="6"/>
    </row>
    <row r="28" customFormat="false" ht="109.5" hidden="false" customHeight="true" outlineLevel="0" collapsed="false">
      <c r="A28" s="5" t="s">
        <v>165</v>
      </c>
      <c r="B28" s="5" t="s">
        <v>50</v>
      </c>
      <c r="C28" s="5" t="s">
        <v>166</v>
      </c>
      <c r="D28" s="5" t="s">
        <v>167</v>
      </c>
      <c r="E28" s="5" t="n">
        <v>3</v>
      </c>
      <c r="F28" s="5" t="n">
        <v>2</v>
      </c>
      <c r="G28" s="7" t="n">
        <f aca="false">(E28+F28)/2</f>
        <v>2.5</v>
      </c>
      <c r="H28" s="5" t="n">
        <v>5</v>
      </c>
      <c r="I28" s="5" t="s">
        <v>53</v>
      </c>
      <c r="J28" s="5" t="n">
        <f aca="false">COUNTIFS(Tasks!$B$4:$B$139,A28,Tasks!$M$4:$M$139,"&lt;&gt;Gestrichen")</f>
        <v>3</v>
      </c>
      <c r="K28" s="5" t="s">
        <v>168</v>
      </c>
      <c r="L28" s="5" t="s">
        <v>74</v>
      </c>
      <c r="M28" s="5"/>
    </row>
    <row r="29" customFormat="false" ht="109.5" hidden="false" customHeight="true" outlineLevel="0" collapsed="false">
      <c r="A29" s="6" t="s">
        <v>169</v>
      </c>
      <c r="B29" s="6" t="s">
        <v>70</v>
      </c>
      <c r="C29" s="6" t="s">
        <v>170</v>
      </c>
      <c r="D29" s="6" t="s">
        <v>171</v>
      </c>
      <c r="E29" s="6" t="n">
        <v>2</v>
      </c>
      <c r="F29" s="6" t="n">
        <v>1</v>
      </c>
      <c r="G29" s="8" t="n">
        <f aca="false">(E29+F29)/2</f>
        <v>1.5</v>
      </c>
      <c r="H29" s="6" t="n">
        <v>3</v>
      </c>
      <c r="I29" s="6" t="s">
        <v>53</v>
      </c>
      <c r="J29" s="6" t="n">
        <f aca="false">COUNTIFS(Tasks!$B$4:$B$139,A29,Tasks!$M$4:$M$139,"&lt;&gt;Gestrichen")</f>
        <v>3</v>
      </c>
      <c r="K29" s="6" t="s">
        <v>172</v>
      </c>
      <c r="L29" s="6" t="s">
        <v>74</v>
      </c>
      <c r="M29" s="6"/>
    </row>
    <row r="30" customFormat="false" ht="109.5" hidden="false" customHeight="true" outlineLevel="0" collapsed="false">
      <c r="A30" s="5" t="s">
        <v>173</v>
      </c>
      <c r="B30" s="5" t="s">
        <v>70</v>
      </c>
      <c r="C30" s="5" t="s">
        <v>174</v>
      </c>
      <c r="D30" s="5" t="s">
        <v>175</v>
      </c>
      <c r="E30" s="5" t="n">
        <v>3</v>
      </c>
      <c r="F30" s="5" t="n">
        <v>4</v>
      </c>
      <c r="G30" s="7" t="n">
        <f aca="false">(E30+F30)/2</f>
        <v>3.5</v>
      </c>
      <c r="H30" s="5" t="n">
        <v>8</v>
      </c>
      <c r="I30" s="5" t="s">
        <v>53</v>
      </c>
      <c r="J30" s="5" t="n">
        <f aca="false">COUNTIFS(Tasks!$B$4:$B$139,A30,Tasks!$M$4:$M$139,"&lt;&gt;Gestrichen")</f>
        <v>4</v>
      </c>
      <c r="K30" s="5" t="s">
        <v>176</v>
      </c>
      <c r="L30" s="5" t="s">
        <v>74</v>
      </c>
      <c r="M30" s="5"/>
    </row>
    <row r="31" customFormat="false" ht="109.5" hidden="false" customHeight="true" outlineLevel="0" collapsed="false">
      <c r="A31" s="6" t="s">
        <v>177</v>
      </c>
      <c r="B31" s="6" t="s">
        <v>70</v>
      </c>
      <c r="C31" s="6" t="s">
        <v>178</v>
      </c>
      <c r="D31" s="6" t="s">
        <v>179</v>
      </c>
      <c r="E31" s="6" t="n">
        <v>1</v>
      </c>
      <c r="F31" s="6" t="n">
        <v>2</v>
      </c>
      <c r="G31" s="8" t="n">
        <f aca="false">(E31+F31)/2</f>
        <v>1.5</v>
      </c>
      <c r="H31" s="6" t="n">
        <v>2</v>
      </c>
      <c r="I31" s="6" t="s">
        <v>53</v>
      </c>
      <c r="J31" s="6" t="n">
        <f aca="false">COUNTIFS(Tasks!$B$4:$B$139,A31,Tasks!$M$4:$M$139,"&lt;&gt;Gestrichen")</f>
        <v>3</v>
      </c>
      <c r="K31" s="6" t="s">
        <v>180</v>
      </c>
      <c r="L31" s="6" t="s">
        <v>74</v>
      </c>
      <c r="M31" s="6"/>
    </row>
    <row r="32" customFormat="false" ht="109.5" hidden="false" customHeight="true" outlineLevel="0" collapsed="false">
      <c r="A32" s="5" t="s">
        <v>181</v>
      </c>
      <c r="B32" s="5" t="s">
        <v>58</v>
      </c>
      <c r="C32" s="5" t="s">
        <v>182</v>
      </c>
      <c r="D32" s="5" t="s">
        <v>183</v>
      </c>
      <c r="E32" s="5" t="n">
        <v>4</v>
      </c>
      <c r="F32" s="5" t="n">
        <v>5</v>
      </c>
      <c r="G32" s="7" t="n">
        <f aca="false">(E32+F32)/2</f>
        <v>4.5</v>
      </c>
      <c r="H32" s="5" t="n">
        <v>13</v>
      </c>
      <c r="I32" s="5" t="s">
        <v>128</v>
      </c>
      <c r="J32" s="5" t="n">
        <f aca="false">COUNTIFS(Tasks!$B$4:$B$139,A32,Tasks!$M$4:$M$139,"&lt;&gt;Gestrichen")</f>
        <v>3</v>
      </c>
      <c r="K32" s="5" t="s">
        <v>184</v>
      </c>
      <c r="L32" s="5" t="s">
        <v>55</v>
      </c>
      <c r="M32" s="5" t="s">
        <v>185</v>
      </c>
    </row>
    <row r="33" customFormat="false" ht="109.5" hidden="false" customHeight="true" outlineLevel="0" collapsed="false">
      <c r="A33" s="6" t="s">
        <v>186</v>
      </c>
      <c r="B33" s="6" t="s">
        <v>58</v>
      </c>
      <c r="C33" s="6" t="s">
        <v>187</v>
      </c>
      <c r="D33" s="6" t="s">
        <v>188</v>
      </c>
      <c r="E33" s="6" t="n">
        <v>4</v>
      </c>
      <c r="F33" s="6" t="n">
        <v>5</v>
      </c>
      <c r="G33" s="8" t="n">
        <f aca="false">(E33+F33)/2</f>
        <v>4.5</v>
      </c>
      <c r="H33" s="6" t="n">
        <v>13</v>
      </c>
      <c r="I33" s="6" t="s">
        <v>128</v>
      </c>
      <c r="J33" s="6" t="n">
        <f aca="false">COUNTIFS(Tasks!$B$4:$B$139,A33,Tasks!$M$4:$M$139,"&lt;&gt;Gestrichen")</f>
        <v>3</v>
      </c>
      <c r="K33" s="6" t="s">
        <v>189</v>
      </c>
      <c r="L33" s="6" t="s">
        <v>55</v>
      </c>
      <c r="M33" s="6" t="s">
        <v>190</v>
      </c>
    </row>
    <row r="34" customFormat="false" ht="109.5" hidden="false" customHeight="true" outlineLevel="0" collapsed="false">
      <c r="A34" s="5" t="s">
        <v>191</v>
      </c>
      <c r="B34" s="5" t="s">
        <v>58</v>
      </c>
      <c r="C34" s="5" t="s">
        <v>192</v>
      </c>
      <c r="D34" s="5" t="s">
        <v>193</v>
      </c>
      <c r="E34" s="5" t="n">
        <v>4</v>
      </c>
      <c r="F34" s="5" t="n">
        <v>5</v>
      </c>
      <c r="G34" s="7" t="n">
        <f aca="false">(E34+F34)/2</f>
        <v>4.5</v>
      </c>
      <c r="H34" s="5" t="n">
        <v>13</v>
      </c>
      <c r="I34" s="5" t="s">
        <v>61</v>
      </c>
      <c r="J34" s="5" t="n">
        <f aca="false">COUNTIFS(Tasks!$B$4:$B$139,A34,Tasks!$M$4:$M$139,"&lt;&gt;Gestrichen")</f>
        <v>0</v>
      </c>
      <c r="K34" s="5" t="s">
        <v>194</v>
      </c>
      <c r="L34" s="5" t="s">
        <v>61</v>
      </c>
      <c r="M34" s="5" t="s">
        <v>195</v>
      </c>
    </row>
    <row r="35" customFormat="false" ht="109.5" hidden="false" customHeight="true" outlineLevel="0" collapsed="false">
      <c r="A35" s="5" t="s">
        <v>196</v>
      </c>
      <c r="B35" s="5" t="s">
        <v>58</v>
      </c>
      <c r="C35" s="5" t="s">
        <v>197</v>
      </c>
      <c r="D35" s="5" t="s">
        <v>198</v>
      </c>
      <c r="E35" s="5" t="n">
        <v>4</v>
      </c>
      <c r="F35" s="5" t="n">
        <v>3</v>
      </c>
      <c r="G35" s="7" t="n">
        <f aca="false">(E35+F35)/2</f>
        <v>3.5</v>
      </c>
      <c r="H35" s="5" t="n">
        <v>13</v>
      </c>
      <c r="I35" s="5" t="s">
        <v>128</v>
      </c>
      <c r="J35" s="5" t="n">
        <f aca="false">COUNTIFS(Tasks!$B$4:$B$139,A35,Tasks!$M$4:$M$139,"&lt;&gt;Gestrichen")</f>
        <v>5</v>
      </c>
      <c r="K35" s="5" t="s">
        <v>199</v>
      </c>
      <c r="L35" s="5" t="s">
        <v>200</v>
      </c>
      <c r="M35" s="5" t="s">
        <v>201</v>
      </c>
    </row>
    <row r="36" customFormat="false" ht="39.55" hidden="false" customHeight="false" outlineLevel="0" collapsed="false">
      <c r="A36" s="5" t="s">
        <v>202</v>
      </c>
      <c r="B36" s="5" t="s">
        <v>76</v>
      </c>
      <c r="C36" s="5" t="s">
        <v>203</v>
      </c>
      <c r="D36" s="5" t="s">
        <v>204</v>
      </c>
      <c r="E36" s="5" t="n">
        <v>2</v>
      </c>
      <c r="F36" s="5" t="n">
        <v>2</v>
      </c>
      <c r="G36" s="7" t="n">
        <f aca="false">(E36+F36)/2</f>
        <v>2</v>
      </c>
      <c r="H36" s="5" t="n">
        <v>8</v>
      </c>
      <c r="I36" s="5" t="s">
        <v>53</v>
      </c>
      <c r="J36" s="5" t="n">
        <f aca="false">COUNTIFS(Tasks!$B$4:$B$139,A36,Tasks!$M$4:$M$139,"&lt;&gt;Gestrichen")</f>
        <v>4</v>
      </c>
      <c r="K36" s="5" t="s">
        <v>205</v>
      </c>
      <c r="L36" s="5" t="s">
        <v>200</v>
      </c>
      <c r="M36" s="5" t="s">
        <v>206</v>
      </c>
    </row>
  </sheetData>
  <mergeCells count="2">
    <mergeCell ref="A1:K1"/>
    <mergeCell ref="A2:K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4" min="3" style="1" width="13"/>
    <col collapsed="false" customWidth="true" hidden="false" outlineLevel="0" max="5" min="5" style="1" width="43"/>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10" min="9" style="1" width="12"/>
    <col collapsed="false" customWidth="true" hidden="false" outlineLevel="0" max="11" min="11" style="1" width="62"/>
    <col collapsed="false" customWidth="true" hidden="false" outlineLevel="0" max="12" min="12" style="1" width="23"/>
    <col collapsed="false" customWidth="true" hidden="false" outlineLevel="0" max="13" min="13" style="1" width="18"/>
    <col collapsed="false" customWidth="true" hidden="false" outlineLevel="0" max="15" min="14" style="1" width="22"/>
    <col collapsed="false" customWidth="true" hidden="false" outlineLevel="0" max="16" min="16" style="1" width="30"/>
    <col collapsed="false" customWidth="true" hidden="false" outlineLevel="0" max="17" min="17" style="1" width="26"/>
    <col collapsed="false" customWidth="true" hidden="false" outlineLevel="0" max="18" min="18" style="1" width="34"/>
    <col collapsed="false" customWidth="true" hidden="false" outlineLevel="0" max="19" min="19" style="1" width="18"/>
    <col collapsed="false" customWidth="true" hidden="false" outlineLevel="0" max="20" min="20" style="1" width="44"/>
  </cols>
  <sheetData>
    <row r="1" customFormat="false" ht="27.75" hidden="false" customHeight="true" outlineLevel="0" collapsed="false">
      <c r="A1" s="2" t="s">
        <v>207</v>
      </c>
      <c r="B1" s="2"/>
      <c r="C1" s="2"/>
      <c r="D1" s="2"/>
      <c r="E1" s="2"/>
      <c r="F1" s="2"/>
      <c r="G1" s="2"/>
      <c r="H1" s="2"/>
      <c r="I1" s="2"/>
      <c r="J1" s="2"/>
      <c r="K1" s="2"/>
      <c r="L1" s="2"/>
      <c r="M1" s="2"/>
      <c r="N1" s="2"/>
      <c r="O1" s="2"/>
      <c r="P1" s="2"/>
      <c r="Q1" s="2"/>
    </row>
    <row r="2" customFormat="false" ht="30" hidden="false" customHeight="true" outlineLevel="0" collapsed="false">
      <c r="A2" s="3" t="s">
        <v>208</v>
      </c>
      <c r="B2" s="3"/>
      <c r="C2" s="3"/>
      <c r="D2" s="3"/>
      <c r="E2" s="3"/>
      <c r="F2" s="3"/>
      <c r="G2" s="3"/>
      <c r="H2" s="3"/>
      <c r="I2" s="3"/>
      <c r="J2" s="3"/>
      <c r="K2" s="3"/>
      <c r="L2" s="3"/>
      <c r="M2" s="3"/>
      <c r="N2" s="3"/>
      <c r="O2" s="3"/>
      <c r="P2" s="3"/>
      <c r="Q2" s="3"/>
    </row>
    <row r="3" customFormat="false" ht="43.5" hidden="false" customHeight="true" outlineLevel="0" collapsed="false">
      <c r="A3" s="4" t="s">
        <v>209</v>
      </c>
      <c r="B3" s="4" t="s">
        <v>210</v>
      </c>
      <c r="C3" s="4" t="s">
        <v>37</v>
      </c>
      <c r="D3" s="4" t="s">
        <v>211</v>
      </c>
      <c r="E3" s="4" t="s">
        <v>212</v>
      </c>
      <c r="F3" s="4" t="s">
        <v>213</v>
      </c>
      <c r="G3" s="4" t="s">
        <v>40</v>
      </c>
      <c r="H3" s="4" t="s">
        <v>41</v>
      </c>
      <c r="I3" s="4" t="s">
        <v>42</v>
      </c>
      <c r="J3" s="4" t="s">
        <v>214</v>
      </c>
      <c r="K3" s="4" t="s">
        <v>215</v>
      </c>
      <c r="L3" s="4" t="s">
        <v>216</v>
      </c>
      <c r="M3" s="4" t="s">
        <v>217</v>
      </c>
      <c r="N3" s="4" t="s">
        <v>218</v>
      </c>
      <c r="O3" s="4" t="s">
        <v>219</v>
      </c>
      <c r="P3" s="4" t="s">
        <v>220</v>
      </c>
      <c r="Q3" s="4" t="s">
        <v>44</v>
      </c>
      <c r="R3" s="4" t="s">
        <v>221</v>
      </c>
      <c r="S3" s="4" t="s">
        <v>47</v>
      </c>
      <c r="T3" s="4" t="s">
        <v>48</v>
      </c>
    </row>
    <row r="4" customFormat="false" ht="67.5" hidden="false" customHeight="true" outlineLevel="0" collapsed="false">
      <c r="A4" s="5" t="s">
        <v>222</v>
      </c>
      <c r="B4" s="5" t="s">
        <v>223</v>
      </c>
      <c r="C4" s="5" t="s">
        <v>70</v>
      </c>
      <c r="D4" s="5" t="n">
        <v>1</v>
      </c>
      <c r="E4" s="5" t="s">
        <v>224</v>
      </c>
      <c r="F4" s="5" t="s">
        <v>225</v>
      </c>
      <c r="G4" s="9" t="n">
        <v>1</v>
      </c>
      <c r="H4" s="9" t="n">
        <v>3</v>
      </c>
      <c r="I4" s="8" t="n">
        <f aca="false">(G4+H4)/2</f>
        <v>2</v>
      </c>
      <c r="J4" s="9" t="n">
        <v>2</v>
      </c>
      <c r="K4" s="5"/>
      <c r="L4" s="5" t="s">
        <v>226</v>
      </c>
      <c r="M4" s="9" t="s">
        <v>227</v>
      </c>
      <c r="N4" s="9"/>
      <c r="O4" s="9"/>
      <c r="P4" s="5" t="s">
        <v>228</v>
      </c>
      <c r="Q4" s="5" t="s">
        <v>53</v>
      </c>
      <c r="R4" s="5" t="s">
        <v>229</v>
      </c>
      <c r="S4" s="5" t="s">
        <v>74</v>
      </c>
      <c r="T4" s="5"/>
    </row>
    <row r="5" customFormat="false" ht="67.5" hidden="false" customHeight="true" outlineLevel="0" collapsed="false">
      <c r="A5" s="6" t="s">
        <v>230</v>
      </c>
      <c r="B5" s="6" t="s">
        <v>223</v>
      </c>
      <c r="C5" s="6" t="s">
        <v>70</v>
      </c>
      <c r="D5" s="6" t="n">
        <v>2</v>
      </c>
      <c r="E5" s="6" t="s">
        <v>231</v>
      </c>
      <c r="F5" s="6" t="s">
        <v>232</v>
      </c>
      <c r="G5" s="9" t="n">
        <v>2</v>
      </c>
      <c r="H5" s="9" t="n">
        <v>1</v>
      </c>
      <c r="I5" s="8" t="n">
        <f aca="false">(G5+H5)/2</f>
        <v>1.5</v>
      </c>
      <c r="J5" s="9" t="n">
        <v>3</v>
      </c>
      <c r="K5" s="6" t="s">
        <v>222</v>
      </c>
      <c r="L5" s="6"/>
      <c r="M5" s="9" t="s">
        <v>227</v>
      </c>
      <c r="N5" s="9"/>
      <c r="O5" s="9"/>
      <c r="P5" s="6" t="s">
        <v>233</v>
      </c>
      <c r="Q5" s="6" t="s">
        <v>53</v>
      </c>
      <c r="R5" s="6" t="s">
        <v>234</v>
      </c>
      <c r="S5" s="6" t="s">
        <v>74</v>
      </c>
      <c r="T5" s="6"/>
    </row>
    <row r="6" customFormat="false" ht="67.5" hidden="false" customHeight="true" outlineLevel="0" collapsed="false">
      <c r="A6" s="5" t="s">
        <v>235</v>
      </c>
      <c r="B6" s="5" t="s">
        <v>223</v>
      </c>
      <c r="C6" s="5" t="s">
        <v>70</v>
      </c>
      <c r="D6" s="5" t="n">
        <v>3</v>
      </c>
      <c r="E6" s="5" t="s">
        <v>236</v>
      </c>
      <c r="F6" s="5" t="s">
        <v>225</v>
      </c>
      <c r="G6" s="9" t="n">
        <v>1</v>
      </c>
      <c r="H6" s="9" t="n">
        <v>3</v>
      </c>
      <c r="I6" s="8" t="n">
        <f aca="false">(G6+H6)/2</f>
        <v>2</v>
      </c>
      <c r="J6" s="9" t="n">
        <v>2</v>
      </c>
      <c r="K6" s="5" t="s">
        <v>222</v>
      </c>
      <c r="L6" s="5"/>
      <c r="M6" s="9" t="s">
        <v>227</v>
      </c>
      <c r="N6" s="9"/>
      <c r="O6" s="9"/>
      <c r="P6" s="5" t="s">
        <v>228</v>
      </c>
      <c r="Q6" s="5" t="s">
        <v>53</v>
      </c>
      <c r="R6" s="5" t="s">
        <v>237</v>
      </c>
      <c r="S6" s="5" t="s">
        <v>74</v>
      </c>
      <c r="T6" s="5"/>
    </row>
    <row r="7" customFormat="false" ht="67.5" hidden="false" customHeight="true" outlineLevel="0" collapsed="false">
      <c r="A7" s="6" t="s">
        <v>238</v>
      </c>
      <c r="B7" s="6" t="s">
        <v>223</v>
      </c>
      <c r="C7" s="6" t="s">
        <v>70</v>
      </c>
      <c r="D7" s="6" t="n">
        <v>4</v>
      </c>
      <c r="E7" s="6" t="s">
        <v>239</v>
      </c>
      <c r="F7" s="6" t="s">
        <v>232</v>
      </c>
      <c r="G7" s="9" t="n">
        <v>2</v>
      </c>
      <c r="H7" s="9" t="n">
        <v>1</v>
      </c>
      <c r="I7" s="8" t="n">
        <f aca="false">(G7+H7)/2</f>
        <v>1.5</v>
      </c>
      <c r="J7" s="9" t="n">
        <v>3</v>
      </c>
      <c r="K7" s="6" t="s">
        <v>230</v>
      </c>
      <c r="L7" s="6"/>
      <c r="M7" s="9" t="s">
        <v>227</v>
      </c>
      <c r="N7" s="9"/>
      <c r="O7" s="9"/>
      <c r="P7" s="6" t="s">
        <v>233</v>
      </c>
      <c r="Q7" s="6" t="s">
        <v>53</v>
      </c>
      <c r="R7" s="6" t="s">
        <v>240</v>
      </c>
      <c r="S7" s="6" t="s">
        <v>74</v>
      </c>
      <c r="T7" s="6"/>
    </row>
    <row r="8" customFormat="false" ht="67.5" hidden="false" customHeight="true" outlineLevel="0" collapsed="false">
      <c r="A8" s="5" t="s">
        <v>241</v>
      </c>
      <c r="B8" s="5" t="s">
        <v>223</v>
      </c>
      <c r="C8" s="5" t="s">
        <v>70</v>
      </c>
      <c r="D8" s="5" t="n">
        <v>5</v>
      </c>
      <c r="E8" s="5" t="s">
        <v>242</v>
      </c>
      <c r="F8" s="5" t="s">
        <v>243</v>
      </c>
      <c r="G8" s="9" t="n">
        <v>1</v>
      </c>
      <c r="H8" s="9" t="n">
        <v>1</v>
      </c>
      <c r="I8" s="8" t="n">
        <f aca="false">(G8+H8)/2</f>
        <v>1</v>
      </c>
      <c r="J8" s="9" t="n">
        <v>3</v>
      </c>
      <c r="K8" s="5" t="s">
        <v>235</v>
      </c>
      <c r="L8" s="5"/>
      <c r="M8" s="9" t="s">
        <v>227</v>
      </c>
      <c r="N8" s="9"/>
      <c r="O8" s="9"/>
      <c r="P8" s="5" t="s">
        <v>228</v>
      </c>
      <c r="Q8" s="5" t="s">
        <v>53</v>
      </c>
      <c r="R8" s="5" t="s">
        <v>244</v>
      </c>
      <c r="S8" s="5" t="s">
        <v>74</v>
      </c>
      <c r="T8" s="5"/>
    </row>
    <row r="9" customFormat="false" ht="67.5" hidden="false" customHeight="true" outlineLevel="0" collapsed="false">
      <c r="A9" s="6" t="s">
        <v>245</v>
      </c>
      <c r="B9" s="6" t="s">
        <v>223</v>
      </c>
      <c r="C9" s="6" t="s">
        <v>70</v>
      </c>
      <c r="D9" s="6" t="n">
        <v>6</v>
      </c>
      <c r="E9" s="6" t="s">
        <v>246</v>
      </c>
      <c r="F9" s="6" t="s">
        <v>232</v>
      </c>
      <c r="G9" s="9" t="n">
        <v>2</v>
      </c>
      <c r="H9" s="9" t="n">
        <v>1</v>
      </c>
      <c r="I9" s="8" t="n">
        <f aca="false">(G9+H9)/2</f>
        <v>1.5</v>
      </c>
      <c r="J9" s="9" t="n">
        <v>3</v>
      </c>
      <c r="K9" s="6" t="s">
        <v>247</v>
      </c>
      <c r="L9" s="6"/>
      <c r="M9" s="9" t="s">
        <v>227</v>
      </c>
      <c r="N9" s="9"/>
      <c r="O9" s="9"/>
      <c r="P9" s="6" t="s">
        <v>233</v>
      </c>
      <c r="Q9" s="6" t="s">
        <v>53</v>
      </c>
      <c r="R9" s="6" t="s">
        <v>244</v>
      </c>
      <c r="S9" s="6" t="s">
        <v>74</v>
      </c>
      <c r="T9" s="6"/>
    </row>
    <row r="10" customFormat="false" ht="67.5" hidden="false" customHeight="true" outlineLevel="0" collapsed="false">
      <c r="A10" s="5" t="s">
        <v>248</v>
      </c>
      <c r="B10" s="5" t="s">
        <v>223</v>
      </c>
      <c r="C10" s="5" t="s">
        <v>70</v>
      </c>
      <c r="D10" s="5" t="n">
        <v>7</v>
      </c>
      <c r="E10" s="5" t="s">
        <v>249</v>
      </c>
      <c r="F10" s="5" t="s">
        <v>232</v>
      </c>
      <c r="G10" s="9" t="n">
        <v>2</v>
      </c>
      <c r="H10" s="9" t="n">
        <v>1</v>
      </c>
      <c r="I10" s="8" t="n">
        <f aca="false">(G10+H10)/2</f>
        <v>1.5</v>
      </c>
      <c r="J10" s="9" t="n">
        <v>3</v>
      </c>
      <c r="K10" s="5" t="s">
        <v>250</v>
      </c>
      <c r="L10" s="5"/>
      <c r="M10" s="9" t="s">
        <v>227</v>
      </c>
      <c r="N10" s="9"/>
      <c r="O10" s="9"/>
      <c r="P10" s="5" t="s">
        <v>233</v>
      </c>
      <c r="Q10" s="5" t="s">
        <v>53</v>
      </c>
      <c r="R10" s="5" t="s">
        <v>251</v>
      </c>
      <c r="S10" s="5" t="s">
        <v>74</v>
      </c>
      <c r="T10" s="5"/>
    </row>
    <row r="11" customFormat="false" ht="67.5" hidden="false" customHeight="true" outlineLevel="0" collapsed="false">
      <c r="A11" s="6" t="s">
        <v>252</v>
      </c>
      <c r="B11" s="6" t="s">
        <v>223</v>
      </c>
      <c r="C11" s="6" t="s">
        <v>70</v>
      </c>
      <c r="D11" s="6" t="n">
        <v>8</v>
      </c>
      <c r="E11" s="6" t="s">
        <v>253</v>
      </c>
      <c r="F11" s="6" t="s">
        <v>232</v>
      </c>
      <c r="G11" s="9" t="n">
        <v>2</v>
      </c>
      <c r="H11" s="9" t="n">
        <v>1</v>
      </c>
      <c r="I11" s="8" t="n">
        <f aca="false">(G11+H11)/2</f>
        <v>1.5</v>
      </c>
      <c r="J11" s="9" t="n">
        <v>3</v>
      </c>
      <c r="K11" s="6" t="s">
        <v>248</v>
      </c>
      <c r="L11" s="6" t="s">
        <v>254</v>
      </c>
      <c r="M11" s="9" t="s">
        <v>227</v>
      </c>
      <c r="N11" s="9"/>
      <c r="O11" s="9"/>
      <c r="P11" s="6" t="s">
        <v>233</v>
      </c>
      <c r="Q11" s="6" t="s">
        <v>53</v>
      </c>
      <c r="R11" s="6" t="s">
        <v>255</v>
      </c>
      <c r="S11" s="6" t="s">
        <v>74</v>
      </c>
      <c r="T11" s="6"/>
    </row>
    <row r="12" customFormat="false" ht="67.5" hidden="false" customHeight="true" outlineLevel="0" collapsed="false">
      <c r="A12" s="5" t="s">
        <v>256</v>
      </c>
      <c r="B12" s="5" t="s">
        <v>223</v>
      </c>
      <c r="C12" s="5" t="s">
        <v>70</v>
      </c>
      <c r="D12" s="5" t="n">
        <v>9</v>
      </c>
      <c r="E12" s="5" t="s">
        <v>257</v>
      </c>
      <c r="F12" s="5" t="s">
        <v>225</v>
      </c>
      <c r="G12" s="9" t="n">
        <v>1</v>
      </c>
      <c r="H12" s="9" t="n">
        <v>3</v>
      </c>
      <c r="I12" s="8" t="n">
        <f aca="false">(G12+H12)/2</f>
        <v>2</v>
      </c>
      <c r="J12" s="9" t="n">
        <v>2</v>
      </c>
      <c r="K12" s="5" t="s">
        <v>235</v>
      </c>
      <c r="L12" s="5" t="s">
        <v>258</v>
      </c>
      <c r="M12" s="9" t="s">
        <v>227</v>
      </c>
      <c r="N12" s="9"/>
      <c r="O12" s="9"/>
      <c r="P12" s="5" t="s">
        <v>228</v>
      </c>
      <c r="Q12" s="5" t="s">
        <v>53</v>
      </c>
      <c r="R12" s="5" t="s">
        <v>259</v>
      </c>
      <c r="S12" s="5" t="s">
        <v>74</v>
      </c>
      <c r="T12" s="5"/>
    </row>
    <row r="13" customFormat="false" ht="67.5" hidden="false" customHeight="true" outlineLevel="0" collapsed="false">
      <c r="A13" s="6" t="s">
        <v>260</v>
      </c>
      <c r="B13" s="6" t="s">
        <v>69</v>
      </c>
      <c r="C13" s="6" t="s">
        <v>70</v>
      </c>
      <c r="D13" s="6" t="n">
        <v>10</v>
      </c>
      <c r="E13" s="6" t="s">
        <v>261</v>
      </c>
      <c r="F13" s="6" t="s">
        <v>225</v>
      </c>
      <c r="G13" s="9" t="n">
        <v>1</v>
      </c>
      <c r="H13" s="9" t="n">
        <v>3</v>
      </c>
      <c r="I13" s="8" t="n">
        <f aca="false">(G13+H13)/2</f>
        <v>2</v>
      </c>
      <c r="J13" s="9" t="n">
        <v>2</v>
      </c>
      <c r="K13" s="6" t="s">
        <v>262</v>
      </c>
      <c r="L13" s="6"/>
      <c r="M13" s="9" t="s">
        <v>227</v>
      </c>
      <c r="N13" s="9"/>
      <c r="O13" s="9"/>
      <c r="P13" s="6" t="s">
        <v>228</v>
      </c>
      <c r="Q13" s="6" t="s">
        <v>53</v>
      </c>
      <c r="R13" s="6" t="s">
        <v>263</v>
      </c>
      <c r="S13" s="6" t="s">
        <v>74</v>
      </c>
      <c r="T13" s="6"/>
    </row>
    <row r="14" customFormat="false" ht="67.5" hidden="false" customHeight="true" outlineLevel="0" collapsed="false">
      <c r="A14" s="5" t="s">
        <v>264</v>
      </c>
      <c r="B14" s="5" t="s">
        <v>69</v>
      </c>
      <c r="C14" s="5" t="s">
        <v>70</v>
      </c>
      <c r="D14" s="5" t="n">
        <v>11</v>
      </c>
      <c r="E14" s="5" t="s">
        <v>265</v>
      </c>
      <c r="F14" s="5" t="s">
        <v>232</v>
      </c>
      <c r="G14" s="9" t="n">
        <v>2</v>
      </c>
      <c r="H14" s="9" t="n">
        <v>1</v>
      </c>
      <c r="I14" s="8" t="n">
        <f aca="false">(G14+H14)/2</f>
        <v>1.5</v>
      </c>
      <c r="J14" s="9" t="n">
        <v>3</v>
      </c>
      <c r="K14" s="5" t="s">
        <v>260</v>
      </c>
      <c r="L14" s="5"/>
      <c r="M14" s="9" t="s">
        <v>227</v>
      </c>
      <c r="N14" s="9"/>
      <c r="O14" s="9"/>
      <c r="P14" s="5" t="s">
        <v>233</v>
      </c>
      <c r="Q14" s="5" t="s">
        <v>53</v>
      </c>
      <c r="R14" s="5" t="s">
        <v>266</v>
      </c>
      <c r="S14" s="5" t="s">
        <v>74</v>
      </c>
      <c r="T14" s="5"/>
    </row>
    <row r="15" customFormat="false" ht="67.5" hidden="false" customHeight="true" outlineLevel="0" collapsed="false">
      <c r="A15" s="6" t="s">
        <v>267</v>
      </c>
      <c r="B15" s="6" t="s">
        <v>69</v>
      </c>
      <c r="C15" s="6" t="s">
        <v>70</v>
      </c>
      <c r="D15" s="6" t="n">
        <v>12</v>
      </c>
      <c r="E15" s="6" t="s">
        <v>268</v>
      </c>
      <c r="F15" s="6" t="s">
        <v>232</v>
      </c>
      <c r="G15" s="9" t="n">
        <v>2</v>
      </c>
      <c r="H15" s="9" t="n">
        <v>1</v>
      </c>
      <c r="I15" s="8" t="n">
        <f aca="false">(G15+H15)/2</f>
        <v>1.5</v>
      </c>
      <c r="J15" s="9" t="n">
        <v>3</v>
      </c>
      <c r="K15" s="6" t="s">
        <v>264</v>
      </c>
      <c r="L15" s="6"/>
      <c r="M15" s="9" t="s">
        <v>227</v>
      </c>
      <c r="N15" s="9"/>
      <c r="O15" s="9"/>
      <c r="P15" s="6" t="s">
        <v>233</v>
      </c>
      <c r="Q15" s="6" t="s">
        <v>53</v>
      </c>
      <c r="R15" s="6" t="s">
        <v>266</v>
      </c>
      <c r="S15" s="6" t="s">
        <v>74</v>
      </c>
      <c r="T15" s="6"/>
    </row>
    <row r="16" customFormat="false" ht="67.5" hidden="false" customHeight="true" outlineLevel="0" collapsed="false">
      <c r="A16" s="5" t="s">
        <v>269</v>
      </c>
      <c r="B16" s="5" t="s">
        <v>94</v>
      </c>
      <c r="C16" s="5" t="s">
        <v>70</v>
      </c>
      <c r="D16" s="5" t="n">
        <v>13</v>
      </c>
      <c r="E16" s="5" t="s">
        <v>270</v>
      </c>
      <c r="F16" s="5" t="s">
        <v>225</v>
      </c>
      <c r="G16" s="9" t="n">
        <v>1</v>
      </c>
      <c r="H16" s="9" t="n">
        <v>3</v>
      </c>
      <c r="I16" s="8" t="n">
        <f aca="false">(G16+H16)/2</f>
        <v>2</v>
      </c>
      <c r="J16" s="9" t="n">
        <v>2</v>
      </c>
      <c r="K16" s="5" t="s">
        <v>271</v>
      </c>
      <c r="L16" s="5" t="s">
        <v>272</v>
      </c>
      <c r="M16" s="9" t="s">
        <v>227</v>
      </c>
      <c r="N16" s="9"/>
      <c r="O16" s="9"/>
      <c r="P16" s="5" t="s">
        <v>228</v>
      </c>
      <c r="Q16" s="5" t="s">
        <v>53</v>
      </c>
      <c r="R16" s="5" t="s">
        <v>273</v>
      </c>
      <c r="S16" s="5" t="s">
        <v>74</v>
      </c>
      <c r="T16" s="5"/>
    </row>
    <row r="17" customFormat="false" ht="67.5" hidden="false" customHeight="true" outlineLevel="0" collapsed="false">
      <c r="A17" s="6" t="s">
        <v>274</v>
      </c>
      <c r="B17" s="6" t="s">
        <v>94</v>
      </c>
      <c r="C17" s="6" t="s">
        <v>70</v>
      </c>
      <c r="D17" s="6" t="n">
        <v>14</v>
      </c>
      <c r="E17" s="6" t="s">
        <v>275</v>
      </c>
      <c r="F17" s="6" t="s">
        <v>232</v>
      </c>
      <c r="G17" s="9" t="n">
        <v>2</v>
      </c>
      <c r="H17" s="9" t="n">
        <v>1</v>
      </c>
      <c r="I17" s="8" t="n">
        <f aca="false">(G17+H17)/2</f>
        <v>1.5</v>
      </c>
      <c r="J17" s="9" t="n">
        <v>3</v>
      </c>
      <c r="K17" s="6" t="s">
        <v>269</v>
      </c>
      <c r="L17" s="6"/>
      <c r="M17" s="9" t="s">
        <v>227</v>
      </c>
      <c r="N17" s="9"/>
      <c r="O17" s="9"/>
      <c r="P17" s="6" t="s">
        <v>233</v>
      </c>
      <c r="Q17" s="6" t="s">
        <v>53</v>
      </c>
      <c r="R17" s="6" t="s">
        <v>276</v>
      </c>
      <c r="S17" s="6" t="s">
        <v>74</v>
      </c>
      <c r="T17" s="6"/>
    </row>
    <row r="18" customFormat="false" ht="67.5" hidden="false" customHeight="true" outlineLevel="0" collapsed="false">
      <c r="A18" s="5" t="s">
        <v>277</v>
      </c>
      <c r="B18" s="5" t="s">
        <v>94</v>
      </c>
      <c r="C18" s="5" t="s">
        <v>70</v>
      </c>
      <c r="D18" s="5" t="n">
        <v>15</v>
      </c>
      <c r="E18" s="5" t="s">
        <v>278</v>
      </c>
      <c r="F18" s="5" t="s">
        <v>232</v>
      </c>
      <c r="G18" s="9" t="n">
        <v>2</v>
      </c>
      <c r="H18" s="9" t="n">
        <v>1</v>
      </c>
      <c r="I18" s="8" t="n">
        <f aca="false">(G18+H18)/2</f>
        <v>1.5</v>
      </c>
      <c r="J18" s="9" t="n">
        <v>3</v>
      </c>
      <c r="K18" s="5" t="s">
        <v>274</v>
      </c>
      <c r="L18" s="5"/>
      <c r="M18" s="9" t="s">
        <v>227</v>
      </c>
      <c r="N18" s="9"/>
      <c r="O18" s="9"/>
      <c r="P18" s="5" t="s">
        <v>233</v>
      </c>
      <c r="Q18" s="5" t="s">
        <v>53</v>
      </c>
      <c r="R18" s="5" t="s">
        <v>276</v>
      </c>
      <c r="S18" s="5" t="s">
        <v>74</v>
      </c>
      <c r="T18" s="5"/>
    </row>
    <row r="19" customFormat="false" ht="67.5" hidden="false" customHeight="true" outlineLevel="0" collapsed="false">
      <c r="A19" s="6" t="s">
        <v>279</v>
      </c>
      <c r="B19" s="6" t="s">
        <v>94</v>
      </c>
      <c r="C19" s="6" t="s">
        <v>70</v>
      </c>
      <c r="D19" s="6" t="n">
        <v>16</v>
      </c>
      <c r="E19" s="6" t="s">
        <v>280</v>
      </c>
      <c r="F19" s="6" t="s">
        <v>232</v>
      </c>
      <c r="G19" s="9" t="n">
        <v>2</v>
      </c>
      <c r="H19" s="9" t="n">
        <v>1</v>
      </c>
      <c r="I19" s="8" t="n">
        <f aca="false">(G19+H19)/2</f>
        <v>1.5</v>
      </c>
      <c r="J19" s="9" t="n">
        <v>3</v>
      </c>
      <c r="K19" s="6" t="s">
        <v>277</v>
      </c>
      <c r="L19" s="6"/>
      <c r="M19" s="9" t="s">
        <v>227</v>
      </c>
      <c r="N19" s="9"/>
      <c r="O19" s="9"/>
      <c r="P19" s="6" t="s">
        <v>233</v>
      </c>
      <c r="Q19" s="6" t="s">
        <v>53</v>
      </c>
      <c r="R19" s="6" t="s">
        <v>244</v>
      </c>
      <c r="S19" s="6" t="s">
        <v>74</v>
      </c>
      <c r="T19" s="6"/>
    </row>
    <row r="20" customFormat="false" ht="67.5" hidden="false" customHeight="true" outlineLevel="0" collapsed="false">
      <c r="A20" s="5" t="s">
        <v>281</v>
      </c>
      <c r="B20" s="5" t="s">
        <v>98</v>
      </c>
      <c r="C20" s="5" t="s">
        <v>70</v>
      </c>
      <c r="D20" s="5" t="n">
        <v>17</v>
      </c>
      <c r="E20" s="5" t="s">
        <v>282</v>
      </c>
      <c r="F20" s="5" t="s">
        <v>225</v>
      </c>
      <c r="G20" s="9" t="n">
        <v>1</v>
      </c>
      <c r="H20" s="9" t="n">
        <v>3</v>
      </c>
      <c r="I20" s="8" t="n">
        <f aca="false">(G20+H20)/2</f>
        <v>2</v>
      </c>
      <c r="J20" s="9" t="n">
        <v>2</v>
      </c>
      <c r="K20" s="5" t="s">
        <v>271</v>
      </c>
      <c r="L20" s="5"/>
      <c r="M20" s="9" t="s">
        <v>227</v>
      </c>
      <c r="N20" s="9"/>
      <c r="O20" s="9"/>
      <c r="P20" s="5" t="s">
        <v>228</v>
      </c>
      <c r="Q20" s="5" t="s">
        <v>53</v>
      </c>
      <c r="R20" s="5" t="s">
        <v>283</v>
      </c>
      <c r="S20" s="5" t="s">
        <v>74</v>
      </c>
      <c r="T20" s="5"/>
    </row>
    <row r="21" customFormat="false" ht="67.5" hidden="false" customHeight="true" outlineLevel="0" collapsed="false">
      <c r="A21" s="6" t="s">
        <v>284</v>
      </c>
      <c r="B21" s="6" t="s">
        <v>98</v>
      </c>
      <c r="C21" s="6" t="s">
        <v>70</v>
      </c>
      <c r="D21" s="6" t="n">
        <v>18</v>
      </c>
      <c r="E21" s="6" t="s">
        <v>285</v>
      </c>
      <c r="F21" s="6" t="s">
        <v>232</v>
      </c>
      <c r="G21" s="9" t="n">
        <v>2</v>
      </c>
      <c r="H21" s="9" t="n">
        <v>1</v>
      </c>
      <c r="I21" s="8" t="n">
        <f aca="false">(G21+H21)/2</f>
        <v>1.5</v>
      </c>
      <c r="J21" s="9" t="n">
        <v>3</v>
      </c>
      <c r="K21" s="6" t="s">
        <v>281</v>
      </c>
      <c r="L21" s="6"/>
      <c r="M21" s="9" t="s">
        <v>227</v>
      </c>
      <c r="N21" s="9"/>
      <c r="O21" s="9"/>
      <c r="P21" s="6" t="s">
        <v>233</v>
      </c>
      <c r="Q21" s="6" t="s">
        <v>53</v>
      </c>
      <c r="R21" s="6" t="s">
        <v>283</v>
      </c>
      <c r="S21" s="6" t="s">
        <v>74</v>
      </c>
      <c r="T21" s="6"/>
    </row>
    <row r="22" customFormat="false" ht="67.5" hidden="false" customHeight="true" outlineLevel="0" collapsed="false">
      <c r="A22" s="5" t="s">
        <v>286</v>
      </c>
      <c r="B22" s="5" t="s">
        <v>98</v>
      </c>
      <c r="C22" s="5" t="s">
        <v>70</v>
      </c>
      <c r="D22" s="5" t="n">
        <v>19</v>
      </c>
      <c r="E22" s="5" t="s">
        <v>287</v>
      </c>
      <c r="F22" s="5" t="s">
        <v>232</v>
      </c>
      <c r="G22" s="9" t="n">
        <v>2</v>
      </c>
      <c r="H22" s="9" t="n">
        <v>1</v>
      </c>
      <c r="I22" s="8" t="n">
        <f aca="false">(G22+H22)/2</f>
        <v>1.5</v>
      </c>
      <c r="J22" s="9" t="n">
        <v>3</v>
      </c>
      <c r="K22" s="5" t="s">
        <v>284</v>
      </c>
      <c r="L22" s="5"/>
      <c r="M22" s="9" t="s">
        <v>227</v>
      </c>
      <c r="N22" s="9"/>
      <c r="O22" s="9"/>
      <c r="P22" s="5" t="s">
        <v>233</v>
      </c>
      <c r="Q22" s="5" t="s">
        <v>53</v>
      </c>
      <c r="R22" s="5" t="s">
        <v>244</v>
      </c>
      <c r="S22" s="5" t="s">
        <v>74</v>
      </c>
      <c r="T22" s="5"/>
    </row>
    <row r="23" customFormat="false" ht="67.5" hidden="false" customHeight="true" outlineLevel="0" collapsed="false">
      <c r="A23" s="6" t="s">
        <v>288</v>
      </c>
      <c r="B23" s="6" t="s">
        <v>169</v>
      </c>
      <c r="C23" s="6" t="s">
        <v>70</v>
      </c>
      <c r="D23" s="6" t="n">
        <v>20</v>
      </c>
      <c r="E23" s="6" t="s">
        <v>289</v>
      </c>
      <c r="F23" s="6" t="s">
        <v>232</v>
      </c>
      <c r="G23" s="9" t="n">
        <v>2</v>
      </c>
      <c r="H23" s="9" t="n">
        <v>1</v>
      </c>
      <c r="I23" s="8" t="n">
        <f aca="false">(G23+H23)/2</f>
        <v>1.5</v>
      </c>
      <c r="J23" s="9" t="n">
        <v>3</v>
      </c>
      <c r="K23" s="6" t="s">
        <v>248</v>
      </c>
      <c r="L23" s="6" t="s">
        <v>254</v>
      </c>
      <c r="M23" s="9" t="s">
        <v>227</v>
      </c>
      <c r="N23" s="9"/>
      <c r="O23" s="9"/>
      <c r="P23" s="6" t="s">
        <v>233</v>
      </c>
      <c r="Q23" s="6" t="s">
        <v>53</v>
      </c>
      <c r="R23" s="6" t="s">
        <v>244</v>
      </c>
      <c r="S23" s="6" t="s">
        <v>74</v>
      </c>
      <c r="T23" s="6"/>
    </row>
    <row r="24" customFormat="false" ht="67.5" hidden="false" customHeight="true" outlineLevel="0" collapsed="false">
      <c r="A24" s="5" t="s">
        <v>290</v>
      </c>
      <c r="B24" s="5" t="s">
        <v>169</v>
      </c>
      <c r="C24" s="5" t="s">
        <v>70</v>
      </c>
      <c r="D24" s="5" t="n">
        <v>21</v>
      </c>
      <c r="E24" s="5" t="s">
        <v>291</v>
      </c>
      <c r="F24" s="5" t="s">
        <v>232</v>
      </c>
      <c r="G24" s="9" t="n">
        <v>2</v>
      </c>
      <c r="H24" s="9" t="n">
        <v>1</v>
      </c>
      <c r="I24" s="8" t="n">
        <f aca="false">(G24+H24)/2</f>
        <v>1.5</v>
      </c>
      <c r="J24" s="9" t="n">
        <v>3</v>
      </c>
      <c r="K24" s="5" t="s">
        <v>288</v>
      </c>
      <c r="L24" s="5"/>
      <c r="M24" s="9" t="s">
        <v>227</v>
      </c>
      <c r="N24" s="9"/>
      <c r="O24" s="9"/>
      <c r="P24" s="5" t="s">
        <v>233</v>
      </c>
      <c r="Q24" s="5" t="s">
        <v>53</v>
      </c>
      <c r="R24" s="5" t="s">
        <v>244</v>
      </c>
      <c r="S24" s="5" t="s">
        <v>74</v>
      </c>
      <c r="T24" s="5"/>
    </row>
    <row r="25" customFormat="false" ht="67.5" hidden="false" customHeight="true" outlineLevel="0" collapsed="false">
      <c r="A25" s="6" t="s">
        <v>292</v>
      </c>
      <c r="B25" s="6" t="s">
        <v>169</v>
      </c>
      <c r="C25" s="6" t="s">
        <v>70</v>
      </c>
      <c r="D25" s="6" t="n">
        <v>22</v>
      </c>
      <c r="E25" s="6" t="s">
        <v>293</v>
      </c>
      <c r="F25" s="6" t="s">
        <v>232</v>
      </c>
      <c r="G25" s="9" t="n">
        <v>2</v>
      </c>
      <c r="H25" s="9" t="n">
        <v>1</v>
      </c>
      <c r="I25" s="8" t="n">
        <f aca="false">(G25+H25)/2</f>
        <v>1.5</v>
      </c>
      <c r="J25" s="9" t="n">
        <v>3</v>
      </c>
      <c r="K25" s="6" t="s">
        <v>290</v>
      </c>
      <c r="L25" s="6"/>
      <c r="M25" s="9" t="s">
        <v>227</v>
      </c>
      <c r="N25" s="9"/>
      <c r="O25" s="9"/>
      <c r="P25" s="6" t="s">
        <v>233</v>
      </c>
      <c r="Q25" s="6" t="s">
        <v>53</v>
      </c>
      <c r="R25" s="6" t="s">
        <v>244</v>
      </c>
      <c r="S25" s="6" t="s">
        <v>74</v>
      </c>
      <c r="T25" s="6"/>
    </row>
    <row r="26" customFormat="false" ht="67.5" hidden="false" customHeight="true" outlineLevel="0" collapsed="false">
      <c r="A26" s="5" t="s">
        <v>294</v>
      </c>
      <c r="B26" s="5" t="s">
        <v>173</v>
      </c>
      <c r="C26" s="5" t="s">
        <v>70</v>
      </c>
      <c r="D26" s="5" t="n">
        <v>23</v>
      </c>
      <c r="E26" s="5" t="s">
        <v>295</v>
      </c>
      <c r="F26" s="5" t="s">
        <v>225</v>
      </c>
      <c r="G26" s="9" t="n">
        <v>1</v>
      </c>
      <c r="H26" s="9" t="n">
        <v>3</v>
      </c>
      <c r="I26" s="8" t="n">
        <f aca="false">(G26+H26)/2</f>
        <v>2</v>
      </c>
      <c r="J26" s="9" t="n">
        <v>2</v>
      </c>
      <c r="K26" s="5" t="s">
        <v>296</v>
      </c>
      <c r="L26" s="5" t="s">
        <v>258</v>
      </c>
      <c r="M26" s="9" t="s">
        <v>227</v>
      </c>
      <c r="N26" s="9"/>
      <c r="O26" s="9"/>
      <c r="P26" s="5" t="s">
        <v>228</v>
      </c>
      <c r="Q26" s="5" t="s">
        <v>53</v>
      </c>
      <c r="R26" s="5" t="s">
        <v>297</v>
      </c>
      <c r="S26" s="5" t="s">
        <v>74</v>
      </c>
      <c r="T26" s="5"/>
    </row>
    <row r="27" customFormat="false" ht="67.5" hidden="false" customHeight="true" outlineLevel="0" collapsed="false">
      <c r="A27" s="6" t="s">
        <v>298</v>
      </c>
      <c r="B27" s="6" t="s">
        <v>173</v>
      </c>
      <c r="C27" s="6" t="s">
        <v>70</v>
      </c>
      <c r="D27" s="6" t="n">
        <v>24</v>
      </c>
      <c r="E27" s="6" t="s">
        <v>299</v>
      </c>
      <c r="F27" s="6" t="s">
        <v>232</v>
      </c>
      <c r="G27" s="9" t="n">
        <v>2</v>
      </c>
      <c r="H27" s="9" t="n">
        <v>1</v>
      </c>
      <c r="I27" s="8" t="n">
        <f aca="false">(G27+H27)/2</f>
        <v>1.5</v>
      </c>
      <c r="J27" s="9" t="n">
        <v>3</v>
      </c>
      <c r="K27" s="6" t="s">
        <v>294</v>
      </c>
      <c r="L27" s="6"/>
      <c r="M27" s="9" t="s">
        <v>227</v>
      </c>
      <c r="N27" s="9"/>
      <c r="O27" s="9"/>
      <c r="P27" s="6" t="s">
        <v>233</v>
      </c>
      <c r="Q27" s="6" t="s">
        <v>53</v>
      </c>
      <c r="R27" s="6" t="s">
        <v>244</v>
      </c>
      <c r="S27" s="6" t="s">
        <v>74</v>
      </c>
      <c r="T27" s="6"/>
    </row>
    <row r="28" customFormat="false" ht="67.5" hidden="false" customHeight="true" outlineLevel="0" collapsed="false">
      <c r="A28" s="5" t="s">
        <v>300</v>
      </c>
      <c r="B28" s="5" t="s">
        <v>173</v>
      </c>
      <c r="C28" s="5" t="s">
        <v>70</v>
      </c>
      <c r="D28" s="5" t="n">
        <v>25</v>
      </c>
      <c r="E28" s="5" t="s">
        <v>301</v>
      </c>
      <c r="F28" s="5" t="s">
        <v>302</v>
      </c>
      <c r="G28" s="9" t="n">
        <v>2</v>
      </c>
      <c r="H28" s="9" t="n">
        <v>1</v>
      </c>
      <c r="I28" s="8" t="n">
        <f aca="false">(G28+H28)/2</f>
        <v>1.5</v>
      </c>
      <c r="J28" s="9" t="n">
        <v>3</v>
      </c>
      <c r="K28" s="5" t="s">
        <v>298</v>
      </c>
      <c r="L28" s="5"/>
      <c r="M28" s="9" t="s">
        <v>227</v>
      </c>
      <c r="N28" s="9"/>
      <c r="O28" s="9"/>
      <c r="P28" s="5" t="s">
        <v>228</v>
      </c>
      <c r="Q28" s="5" t="s">
        <v>53</v>
      </c>
      <c r="R28" s="5" t="s">
        <v>297</v>
      </c>
      <c r="S28" s="5" t="s">
        <v>74</v>
      </c>
      <c r="T28" s="5"/>
    </row>
    <row r="29" customFormat="false" ht="67.5" hidden="false" customHeight="true" outlineLevel="0" collapsed="false">
      <c r="A29" s="6" t="s">
        <v>303</v>
      </c>
      <c r="B29" s="6" t="s">
        <v>173</v>
      </c>
      <c r="C29" s="6" t="s">
        <v>70</v>
      </c>
      <c r="D29" s="6" t="n">
        <v>26</v>
      </c>
      <c r="E29" s="6" t="s">
        <v>304</v>
      </c>
      <c r="F29" s="6" t="s">
        <v>232</v>
      </c>
      <c r="G29" s="9" t="n">
        <v>2</v>
      </c>
      <c r="H29" s="9" t="n">
        <v>1</v>
      </c>
      <c r="I29" s="8" t="n">
        <f aca="false">(G29+H29)/2</f>
        <v>1.5</v>
      </c>
      <c r="J29" s="9" t="n">
        <v>3</v>
      </c>
      <c r="K29" s="6" t="s">
        <v>300</v>
      </c>
      <c r="L29" s="6"/>
      <c r="M29" s="9" t="s">
        <v>227</v>
      </c>
      <c r="N29" s="9"/>
      <c r="O29" s="9"/>
      <c r="P29" s="6" t="s">
        <v>233</v>
      </c>
      <c r="Q29" s="6" t="s">
        <v>53</v>
      </c>
      <c r="R29" s="6" t="s">
        <v>297</v>
      </c>
      <c r="S29" s="6" t="s">
        <v>74</v>
      </c>
      <c r="T29" s="6"/>
    </row>
    <row r="30" customFormat="false" ht="67.5" hidden="false" customHeight="true" outlineLevel="0" collapsed="false">
      <c r="A30" s="5" t="s">
        <v>305</v>
      </c>
      <c r="B30" s="5" t="s">
        <v>223</v>
      </c>
      <c r="C30" s="5" t="s">
        <v>70</v>
      </c>
      <c r="D30" s="5" t="n">
        <v>27</v>
      </c>
      <c r="E30" s="5" t="s">
        <v>306</v>
      </c>
      <c r="F30" s="5" t="s">
        <v>232</v>
      </c>
      <c r="G30" s="9" t="n">
        <v>2</v>
      </c>
      <c r="H30" s="9" t="n">
        <v>1</v>
      </c>
      <c r="I30" s="8" t="n">
        <f aca="false">(G30+H30)/2</f>
        <v>1.5</v>
      </c>
      <c r="J30" s="9" t="n">
        <v>3</v>
      </c>
      <c r="K30" s="5" t="s">
        <v>307</v>
      </c>
      <c r="L30" s="5"/>
      <c r="M30" s="9" t="s">
        <v>227</v>
      </c>
      <c r="N30" s="9"/>
      <c r="O30" s="9"/>
      <c r="P30" s="5" t="s">
        <v>233</v>
      </c>
      <c r="Q30" s="5" t="s">
        <v>53</v>
      </c>
      <c r="R30" s="5" t="s">
        <v>308</v>
      </c>
      <c r="S30" s="5" t="s">
        <v>74</v>
      </c>
      <c r="T30" s="5"/>
    </row>
    <row r="31" customFormat="false" ht="67.5" hidden="false" customHeight="true" outlineLevel="0" collapsed="false">
      <c r="A31" s="6" t="s">
        <v>309</v>
      </c>
      <c r="B31" s="6" t="s">
        <v>177</v>
      </c>
      <c r="C31" s="6" t="s">
        <v>70</v>
      </c>
      <c r="D31" s="6" t="n">
        <v>28</v>
      </c>
      <c r="E31" s="6" t="s">
        <v>310</v>
      </c>
      <c r="F31" s="6" t="s">
        <v>225</v>
      </c>
      <c r="G31" s="9" t="n">
        <v>1</v>
      </c>
      <c r="H31" s="9" t="n">
        <v>3</v>
      </c>
      <c r="I31" s="8" t="n">
        <f aca="false">(G31+H31)/2</f>
        <v>2</v>
      </c>
      <c r="J31" s="9" t="n">
        <v>2</v>
      </c>
      <c r="K31" s="6" t="s">
        <v>311</v>
      </c>
      <c r="L31" s="6" t="s">
        <v>258</v>
      </c>
      <c r="M31" s="9" t="s">
        <v>227</v>
      </c>
      <c r="N31" s="9"/>
      <c r="O31" s="9"/>
      <c r="P31" s="6" t="s">
        <v>228</v>
      </c>
      <c r="Q31" s="6" t="s">
        <v>53</v>
      </c>
      <c r="R31" s="6" t="s">
        <v>273</v>
      </c>
      <c r="S31" s="6" t="s">
        <v>74</v>
      </c>
      <c r="T31" s="6"/>
    </row>
    <row r="32" customFormat="false" ht="67.5" hidden="false" customHeight="true" outlineLevel="0" collapsed="false">
      <c r="A32" s="5" t="s">
        <v>312</v>
      </c>
      <c r="B32" s="5" t="s">
        <v>177</v>
      </c>
      <c r="C32" s="5" t="s">
        <v>70</v>
      </c>
      <c r="D32" s="5" t="n">
        <v>29</v>
      </c>
      <c r="E32" s="5" t="s">
        <v>313</v>
      </c>
      <c r="F32" s="5" t="s">
        <v>232</v>
      </c>
      <c r="G32" s="9" t="n">
        <v>2</v>
      </c>
      <c r="H32" s="9" t="n">
        <v>1</v>
      </c>
      <c r="I32" s="8" t="n">
        <f aca="false">(G32+H32)/2</f>
        <v>1.5</v>
      </c>
      <c r="J32" s="9" t="n">
        <v>3</v>
      </c>
      <c r="K32" s="5" t="s">
        <v>309</v>
      </c>
      <c r="L32" s="5"/>
      <c r="M32" s="9" t="s">
        <v>227</v>
      </c>
      <c r="N32" s="9"/>
      <c r="O32" s="9"/>
      <c r="P32" s="5" t="s">
        <v>233</v>
      </c>
      <c r="Q32" s="5" t="s">
        <v>53</v>
      </c>
      <c r="R32" s="5" t="s">
        <v>244</v>
      </c>
      <c r="S32" s="5" t="s">
        <v>74</v>
      </c>
      <c r="T32" s="5"/>
    </row>
    <row r="33" customFormat="false" ht="67.5" hidden="false" customHeight="true" outlineLevel="0" collapsed="false">
      <c r="A33" s="6" t="s">
        <v>314</v>
      </c>
      <c r="B33" s="6" t="s">
        <v>223</v>
      </c>
      <c r="C33" s="6" t="s">
        <v>70</v>
      </c>
      <c r="D33" s="6" t="n">
        <v>30</v>
      </c>
      <c r="E33" s="6" t="s">
        <v>315</v>
      </c>
      <c r="F33" s="6" t="s">
        <v>302</v>
      </c>
      <c r="G33" s="9" t="n">
        <v>2</v>
      </c>
      <c r="H33" s="9" t="n">
        <v>1</v>
      </c>
      <c r="I33" s="8" t="n">
        <f aca="false">(G33+H33)/2</f>
        <v>1.5</v>
      </c>
      <c r="J33" s="9" t="n">
        <v>3</v>
      </c>
      <c r="K33" s="6" t="s">
        <v>316</v>
      </c>
      <c r="L33" s="6"/>
      <c r="M33" s="9" t="s">
        <v>227</v>
      </c>
      <c r="N33" s="9"/>
      <c r="O33" s="9"/>
      <c r="P33" s="6" t="s">
        <v>228</v>
      </c>
      <c r="Q33" s="6" t="s">
        <v>53</v>
      </c>
      <c r="R33" s="6" t="s">
        <v>317</v>
      </c>
      <c r="S33" s="6" t="s">
        <v>74</v>
      </c>
      <c r="T33" s="6"/>
    </row>
    <row r="34" customFormat="false" ht="67.5" hidden="false" customHeight="true" outlineLevel="0" collapsed="false">
      <c r="A34" s="5" t="s">
        <v>318</v>
      </c>
      <c r="B34" s="5" t="s">
        <v>130</v>
      </c>
      <c r="C34" s="5" t="s">
        <v>70</v>
      </c>
      <c r="D34" s="5" t="n">
        <v>31</v>
      </c>
      <c r="E34" s="5" t="s">
        <v>319</v>
      </c>
      <c r="F34" s="5" t="s">
        <v>232</v>
      </c>
      <c r="G34" s="9" t="n">
        <v>2</v>
      </c>
      <c r="H34" s="9" t="n">
        <v>1</v>
      </c>
      <c r="I34" s="8" t="n">
        <f aca="false">(G34+H34)/2</f>
        <v>1.5</v>
      </c>
      <c r="J34" s="9" t="n">
        <v>3</v>
      </c>
      <c r="K34" s="5" t="s">
        <v>320</v>
      </c>
      <c r="L34" s="5" t="s">
        <v>321</v>
      </c>
      <c r="M34" s="9" t="s">
        <v>227</v>
      </c>
      <c r="N34" s="9"/>
      <c r="O34" s="9"/>
      <c r="P34" s="5" t="s">
        <v>233</v>
      </c>
      <c r="Q34" s="5" t="s">
        <v>128</v>
      </c>
      <c r="R34" s="5" t="s">
        <v>244</v>
      </c>
      <c r="S34" s="5" t="s">
        <v>74</v>
      </c>
      <c r="T34" s="5"/>
    </row>
    <row r="35" customFormat="false" ht="67.5" hidden="false" customHeight="true" outlineLevel="0" collapsed="false">
      <c r="A35" s="6" t="s">
        <v>322</v>
      </c>
      <c r="B35" s="6" t="s">
        <v>130</v>
      </c>
      <c r="C35" s="6" t="s">
        <v>70</v>
      </c>
      <c r="D35" s="6" t="n">
        <v>32</v>
      </c>
      <c r="E35" s="6" t="s">
        <v>323</v>
      </c>
      <c r="F35" s="6" t="s">
        <v>232</v>
      </c>
      <c r="G35" s="9" t="n">
        <v>2</v>
      </c>
      <c r="H35" s="9" t="n">
        <v>1</v>
      </c>
      <c r="I35" s="8" t="n">
        <f aca="false">(G35+H35)/2</f>
        <v>1.5</v>
      </c>
      <c r="J35" s="9" t="n">
        <v>3</v>
      </c>
      <c r="K35" s="6" t="s">
        <v>318</v>
      </c>
      <c r="L35" s="6"/>
      <c r="M35" s="9" t="s">
        <v>227</v>
      </c>
      <c r="N35" s="9"/>
      <c r="O35" s="9"/>
      <c r="P35" s="6" t="s">
        <v>233</v>
      </c>
      <c r="Q35" s="6" t="s">
        <v>128</v>
      </c>
      <c r="R35" s="6" t="s">
        <v>244</v>
      </c>
      <c r="S35" s="6" t="s">
        <v>74</v>
      </c>
      <c r="T35" s="6"/>
    </row>
    <row r="36" customFormat="false" ht="67.5" hidden="false" customHeight="true" outlineLevel="0" collapsed="false">
      <c r="A36" s="5" t="s">
        <v>324</v>
      </c>
      <c r="B36" s="5" t="s">
        <v>130</v>
      </c>
      <c r="C36" s="5" t="s">
        <v>70</v>
      </c>
      <c r="D36" s="5" t="n">
        <v>33</v>
      </c>
      <c r="E36" s="5" t="s">
        <v>325</v>
      </c>
      <c r="F36" s="5" t="s">
        <v>302</v>
      </c>
      <c r="G36" s="9" t="n">
        <v>2</v>
      </c>
      <c r="H36" s="9" t="n">
        <v>1</v>
      </c>
      <c r="I36" s="8" t="n">
        <f aca="false">(G36+H36)/2</f>
        <v>1.5</v>
      </c>
      <c r="J36" s="9" t="n">
        <v>3</v>
      </c>
      <c r="K36" s="5" t="s">
        <v>322</v>
      </c>
      <c r="L36" s="5"/>
      <c r="M36" s="9" t="s">
        <v>227</v>
      </c>
      <c r="N36" s="9"/>
      <c r="O36" s="9"/>
      <c r="P36" s="5" t="s">
        <v>228</v>
      </c>
      <c r="Q36" s="5" t="s">
        <v>128</v>
      </c>
      <c r="R36" s="5" t="s">
        <v>244</v>
      </c>
      <c r="S36" s="5" t="s">
        <v>74</v>
      </c>
      <c r="T36" s="5"/>
    </row>
    <row r="37" customFormat="false" ht="67.5" hidden="false" customHeight="true" outlineLevel="0" collapsed="false">
      <c r="A37" s="6" t="s">
        <v>326</v>
      </c>
      <c r="B37" s="6" t="s">
        <v>223</v>
      </c>
      <c r="C37" s="6" t="s">
        <v>76</v>
      </c>
      <c r="D37" s="6" t="n">
        <v>34</v>
      </c>
      <c r="E37" s="6" t="s">
        <v>327</v>
      </c>
      <c r="F37" s="6" t="s">
        <v>232</v>
      </c>
      <c r="G37" s="9" t="n">
        <v>2</v>
      </c>
      <c r="H37" s="9" t="n">
        <v>1</v>
      </c>
      <c r="I37" s="8" t="n">
        <f aca="false">(G37+H37)/2</f>
        <v>1.5</v>
      </c>
      <c r="J37" s="9" t="n">
        <v>3</v>
      </c>
      <c r="K37" s="6" t="s">
        <v>248</v>
      </c>
      <c r="L37" s="6" t="s">
        <v>258</v>
      </c>
      <c r="M37" s="9" t="s">
        <v>227</v>
      </c>
      <c r="N37" s="9"/>
      <c r="O37" s="9"/>
      <c r="P37" s="6" t="s">
        <v>233</v>
      </c>
      <c r="Q37" s="6" t="s">
        <v>53</v>
      </c>
      <c r="R37" s="6" t="s">
        <v>328</v>
      </c>
      <c r="S37" s="6" t="s">
        <v>74</v>
      </c>
      <c r="T37" s="6"/>
    </row>
    <row r="38" customFormat="false" ht="67.5" hidden="false" customHeight="true" outlineLevel="0" collapsed="false">
      <c r="A38" s="5" t="s">
        <v>329</v>
      </c>
      <c r="B38" s="5" t="s">
        <v>223</v>
      </c>
      <c r="C38" s="5" t="s">
        <v>76</v>
      </c>
      <c r="D38" s="5" t="n">
        <v>35</v>
      </c>
      <c r="E38" s="5" t="s">
        <v>330</v>
      </c>
      <c r="F38" s="5" t="s">
        <v>225</v>
      </c>
      <c r="G38" s="9" t="n">
        <v>1</v>
      </c>
      <c r="H38" s="9" t="n">
        <v>3</v>
      </c>
      <c r="I38" s="8" t="n">
        <f aca="false">(G38+H38)/2</f>
        <v>2</v>
      </c>
      <c r="J38" s="9" t="n">
        <v>2</v>
      </c>
      <c r="K38" s="5" t="s">
        <v>256</v>
      </c>
      <c r="L38" s="5" t="s">
        <v>331</v>
      </c>
      <c r="M38" s="9" t="s">
        <v>227</v>
      </c>
      <c r="N38" s="9"/>
      <c r="O38" s="9"/>
      <c r="P38" s="5" t="s">
        <v>228</v>
      </c>
      <c r="Q38" s="5" t="s">
        <v>53</v>
      </c>
      <c r="R38" s="5" t="s">
        <v>332</v>
      </c>
      <c r="S38" s="5" t="s">
        <v>74</v>
      </c>
      <c r="T38" s="5"/>
    </row>
    <row r="39" customFormat="false" ht="67.5" hidden="false" customHeight="true" outlineLevel="0" collapsed="false">
      <c r="A39" s="6" t="s">
        <v>333</v>
      </c>
      <c r="B39" s="6" t="s">
        <v>223</v>
      </c>
      <c r="C39" s="6" t="s">
        <v>76</v>
      </c>
      <c r="D39" s="6" t="n">
        <v>36</v>
      </c>
      <c r="E39" s="6" t="s">
        <v>334</v>
      </c>
      <c r="F39" s="6" t="s">
        <v>232</v>
      </c>
      <c r="G39" s="9" t="n">
        <v>2</v>
      </c>
      <c r="H39" s="9" t="n">
        <v>1</v>
      </c>
      <c r="I39" s="8" t="n">
        <f aca="false">(G39+H39)/2</f>
        <v>1.5</v>
      </c>
      <c r="J39" s="9" t="n">
        <v>3</v>
      </c>
      <c r="K39" s="6" t="s">
        <v>326</v>
      </c>
      <c r="L39" s="6" t="s">
        <v>335</v>
      </c>
      <c r="M39" s="9" t="s">
        <v>227</v>
      </c>
      <c r="N39" s="9"/>
      <c r="O39" s="9"/>
      <c r="P39" s="6" t="s">
        <v>233</v>
      </c>
      <c r="Q39" s="6" t="s">
        <v>53</v>
      </c>
      <c r="R39" s="6" t="s">
        <v>336</v>
      </c>
      <c r="S39" s="6" t="s">
        <v>74</v>
      </c>
      <c r="T39" s="6"/>
    </row>
    <row r="40" customFormat="false" ht="67.5" hidden="false" customHeight="true" outlineLevel="0" collapsed="false">
      <c r="A40" s="5" t="s">
        <v>337</v>
      </c>
      <c r="B40" s="5" t="s">
        <v>75</v>
      </c>
      <c r="C40" s="5" t="s">
        <v>76</v>
      </c>
      <c r="D40" s="5" t="n">
        <v>37</v>
      </c>
      <c r="E40" s="5" t="s">
        <v>338</v>
      </c>
      <c r="F40" s="5" t="s">
        <v>225</v>
      </c>
      <c r="G40" s="9" t="n">
        <v>1</v>
      </c>
      <c r="H40" s="9" t="n">
        <v>3</v>
      </c>
      <c r="I40" s="8" t="n">
        <f aca="false">(G40+H40)/2</f>
        <v>2</v>
      </c>
      <c r="J40" s="9" t="n">
        <v>2</v>
      </c>
      <c r="K40" s="5" t="s">
        <v>339</v>
      </c>
      <c r="L40" s="5" t="s">
        <v>258</v>
      </c>
      <c r="M40" s="9" t="s">
        <v>227</v>
      </c>
      <c r="N40" s="9"/>
      <c r="O40" s="9"/>
      <c r="P40" s="5" t="s">
        <v>228</v>
      </c>
      <c r="Q40" s="5" t="s">
        <v>53</v>
      </c>
      <c r="R40" s="5" t="s">
        <v>328</v>
      </c>
      <c r="S40" s="5" t="s">
        <v>74</v>
      </c>
      <c r="T40" s="5"/>
    </row>
    <row r="41" customFormat="false" ht="67.5" hidden="false" customHeight="true" outlineLevel="0" collapsed="false">
      <c r="A41" s="6" t="s">
        <v>340</v>
      </c>
      <c r="B41" s="6" t="s">
        <v>75</v>
      </c>
      <c r="C41" s="6" t="s">
        <v>76</v>
      </c>
      <c r="D41" s="6" t="n">
        <v>38</v>
      </c>
      <c r="E41" s="6" t="s">
        <v>341</v>
      </c>
      <c r="F41" s="6" t="s">
        <v>232</v>
      </c>
      <c r="G41" s="9" t="n">
        <v>2</v>
      </c>
      <c r="H41" s="9" t="n">
        <v>1</v>
      </c>
      <c r="I41" s="8" t="n">
        <f aca="false">(G41+H41)/2</f>
        <v>1.5</v>
      </c>
      <c r="J41" s="9" t="n">
        <v>3</v>
      </c>
      <c r="K41" s="6" t="s">
        <v>337</v>
      </c>
      <c r="L41" s="6"/>
      <c r="M41" s="9" t="s">
        <v>227</v>
      </c>
      <c r="N41" s="9"/>
      <c r="O41" s="9"/>
      <c r="P41" s="6" t="s">
        <v>233</v>
      </c>
      <c r="Q41" s="6" t="s">
        <v>53</v>
      </c>
      <c r="R41" s="6" t="s">
        <v>244</v>
      </c>
      <c r="S41" s="6" t="s">
        <v>74</v>
      </c>
      <c r="T41" s="6"/>
    </row>
    <row r="42" customFormat="false" ht="67.5" hidden="false" customHeight="true" outlineLevel="0" collapsed="false">
      <c r="A42" s="5" t="s">
        <v>342</v>
      </c>
      <c r="B42" s="5" t="s">
        <v>75</v>
      </c>
      <c r="C42" s="5" t="s">
        <v>76</v>
      </c>
      <c r="D42" s="5" t="n">
        <v>39</v>
      </c>
      <c r="E42" s="5" t="s">
        <v>343</v>
      </c>
      <c r="F42" s="5" t="s">
        <v>232</v>
      </c>
      <c r="G42" s="9" t="n">
        <v>2</v>
      </c>
      <c r="H42" s="9" t="n">
        <v>1</v>
      </c>
      <c r="I42" s="8" t="n">
        <f aca="false">(G42+H42)/2</f>
        <v>1.5</v>
      </c>
      <c r="J42" s="9" t="n">
        <v>3</v>
      </c>
      <c r="K42" s="5" t="s">
        <v>340</v>
      </c>
      <c r="L42" s="5"/>
      <c r="M42" s="9" t="s">
        <v>227</v>
      </c>
      <c r="N42" s="9"/>
      <c r="O42" s="9"/>
      <c r="P42" s="5" t="s">
        <v>233</v>
      </c>
      <c r="Q42" s="5" t="s">
        <v>53</v>
      </c>
      <c r="R42" s="5" t="s">
        <v>328</v>
      </c>
      <c r="S42" s="5" t="s">
        <v>74</v>
      </c>
      <c r="T42" s="5"/>
    </row>
    <row r="43" customFormat="false" ht="67.5" hidden="false" customHeight="true" outlineLevel="0" collapsed="false">
      <c r="A43" s="6" t="s">
        <v>344</v>
      </c>
      <c r="B43" s="6" t="s">
        <v>75</v>
      </c>
      <c r="C43" s="6" t="s">
        <v>76</v>
      </c>
      <c r="D43" s="6" t="n">
        <v>40</v>
      </c>
      <c r="E43" s="6" t="s">
        <v>345</v>
      </c>
      <c r="F43" s="6" t="s">
        <v>232</v>
      </c>
      <c r="G43" s="9" t="n">
        <v>2</v>
      </c>
      <c r="H43" s="9" t="n">
        <v>1</v>
      </c>
      <c r="I43" s="8" t="n">
        <f aca="false">(G43+H43)/2</f>
        <v>1.5</v>
      </c>
      <c r="J43" s="9" t="n">
        <v>3</v>
      </c>
      <c r="K43" s="6" t="s">
        <v>342</v>
      </c>
      <c r="L43" s="6"/>
      <c r="M43" s="9" t="s">
        <v>227</v>
      </c>
      <c r="N43" s="9"/>
      <c r="O43" s="9"/>
      <c r="P43" s="6" t="s">
        <v>233</v>
      </c>
      <c r="Q43" s="6" t="s">
        <v>53</v>
      </c>
      <c r="R43" s="6" t="s">
        <v>244</v>
      </c>
      <c r="S43" s="6" t="s">
        <v>74</v>
      </c>
      <c r="T43" s="6"/>
    </row>
    <row r="44" customFormat="false" ht="67.5" hidden="false" customHeight="true" outlineLevel="0" collapsed="false">
      <c r="A44" s="5" t="s">
        <v>346</v>
      </c>
      <c r="B44" s="5" t="s">
        <v>156</v>
      </c>
      <c r="C44" s="5" t="s">
        <v>76</v>
      </c>
      <c r="D44" s="5" t="n">
        <v>41</v>
      </c>
      <c r="E44" s="5" t="s">
        <v>347</v>
      </c>
      <c r="F44" s="5" t="s">
        <v>225</v>
      </c>
      <c r="G44" s="9" t="n">
        <v>1</v>
      </c>
      <c r="H44" s="9" t="n">
        <v>3</v>
      </c>
      <c r="I44" s="8" t="n">
        <f aca="false">(G44+H44)/2</f>
        <v>2</v>
      </c>
      <c r="J44" s="9" t="n">
        <v>2</v>
      </c>
      <c r="K44" s="5" t="s">
        <v>348</v>
      </c>
      <c r="L44" s="5" t="s">
        <v>258</v>
      </c>
      <c r="M44" s="9" t="s">
        <v>227</v>
      </c>
      <c r="N44" s="9"/>
      <c r="O44" s="9"/>
      <c r="P44" s="5" t="s">
        <v>228</v>
      </c>
      <c r="Q44" s="5" t="s">
        <v>159</v>
      </c>
      <c r="R44" s="5" t="s">
        <v>297</v>
      </c>
      <c r="S44" s="5" t="s">
        <v>74</v>
      </c>
      <c r="T44" s="5"/>
    </row>
    <row r="45" customFormat="false" ht="67.5" hidden="false" customHeight="true" outlineLevel="0" collapsed="false">
      <c r="A45" s="6" t="s">
        <v>349</v>
      </c>
      <c r="B45" s="6" t="s">
        <v>156</v>
      </c>
      <c r="C45" s="6" t="s">
        <v>76</v>
      </c>
      <c r="D45" s="6" t="n">
        <v>42</v>
      </c>
      <c r="E45" s="6" t="s">
        <v>350</v>
      </c>
      <c r="F45" s="6" t="s">
        <v>302</v>
      </c>
      <c r="G45" s="9" t="n">
        <v>2</v>
      </c>
      <c r="H45" s="9" t="n">
        <v>1</v>
      </c>
      <c r="I45" s="8" t="n">
        <f aca="false">(G45+H45)/2</f>
        <v>1.5</v>
      </c>
      <c r="J45" s="9" t="n">
        <v>3</v>
      </c>
      <c r="K45" s="6" t="s">
        <v>346</v>
      </c>
      <c r="L45" s="6"/>
      <c r="M45" s="9" t="s">
        <v>227</v>
      </c>
      <c r="N45" s="9"/>
      <c r="O45" s="9"/>
      <c r="P45" s="6" t="s">
        <v>228</v>
      </c>
      <c r="Q45" s="6" t="s">
        <v>159</v>
      </c>
      <c r="R45" s="6" t="s">
        <v>297</v>
      </c>
      <c r="S45" s="6" t="s">
        <v>74</v>
      </c>
      <c r="T45" s="6"/>
    </row>
    <row r="46" customFormat="false" ht="67.5" hidden="false" customHeight="true" outlineLevel="0" collapsed="false">
      <c r="A46" s="5" t="s">
        <v>351</v>
      </c>
      <c r="B46" s="5" t="s">
        <v>156</v>
      </c>
      <c r="C46" s="5" t="s">
        <v>76</v>
      </c>
      <c r="D46" s="5" t="n">
        <v>43</v>
      </c>
      <c r="E46" s="5" t="s">
        <v>352</v>
      </c>
      <c r="F46" s="5" t="s">
        <v>232</v>
      </c>
      <c r="G46" s="9" t="n">
        <v>2</v>
      </c>
      <c r="H46" s="9" t="n">
        <v>1</v>
      </c>
      <c r="I46" s="8" t="n">
        <f aca="false">(G46+H46)/2</f>
        <v>1.5</v>
      </c>
      <c r="J46" s="9" t="n">
        <v>3</v>
      </c>
      <c r="K46" s="5" t="s">
        <v>349</v>
      </c>
      <c r="L46" s="5"/>
      <c r="M46" s="9" t="s">
        <v>227</v>
      </c>
      <c r="N46" s="9"/>
      <c r="O46" s="9"/>
      <c r="P46" s="5" t="s">
        <v>233</v>
      </c>
      <c r="Q46" s="5" t="s">
        <v>159</v>
      </c>
      <c r="R46" s="5" t="s">
        <v>244</v>
      </c>
      <c r="S46" s="5" t="s">
        <v>74</v>
      </c>
      <c r="T46" s="5"/>
    </row>
    <row r="47" customFormat="false" ht="67.5" hidden="false" customHeight="true" outlineLevel="0" collapsed="false">
      <c r="A47" s="6" t="s">
        <v>353</v>
      </c>
      <c r="B47" s="6" t="s">
        <v>156</v>
      </c>
      <c r="C47" s="6" t="s">
        <v>76</v>
      </c>
      <c r="D47" s="6" t="n">
        <v>44</v>
      </c>
      <c r="E47" s="6" t="s">
        <v>354</v>
      </c>
      <c r="F47" s="6" t="s">
        <v>232</v>
      </c>
      <c r="G47" s="9" t="n">
        <v>2</v>
      </c>
      <c r="H47" s="9" t="n">
        <v>1</v>
      </c>
      <c r="I47" s="8" t="n">
        <f aca="false">(G47+H47)/2</f>
        <v>1.5</v>
      </c>
      <c r="J47" s="9" t="n">
        <v>3</v>
      </c>
      <c r="K47" s="6" t="s">
        <v>351</v>
      </c>
      <c r="L47" s="6"/>
      <c r="M47" s="9" t="s">
        <v>227</v>
      </c>
      <c r="N47" s="9"/>
      <c r="O47" s="9"/>
      <c r="P47" s="6" t="s">
        <v>233</v>
      </c>
      <c r="Q47" s="6" t="s">
        <v>159</v>
      </c>
      <c r="R47" s="6" t="s">
        <v>297</v>
      </c>
      <c r="S47" s="6" t="s">
        <v>74</v>
      </c>
      <c r="T47" s="6"/>
    </row>
    <row r="48" customFormat="false" ht="67.5" hidden="false" customHeight="true" outlineLevel="0" collapsed="false">
      <c r="A48" s="5" t="s">
        <v>355</v>
      </c>
      <c r="B48" s="5" t="s">
        <v>85</v>
      </c>
      <c r="C48" s="5" t="s">
        <v>76</v>
      </c>
      <c r="D48" s="5" t="n">
        <v>45</v>
      </c>
      <c r="E48" s="5" t="s">
        <v>356</v>
      </c>
      <c r="F48" s="5" t="s">
        <v>225</v>
      </c>
      <c r="G48" s="9" t="n">
        <v>1</v>
      </c>
      <c r="H48" s="9" t="n">
        <v>3</v>
      </c>
      <c r="I48" s="8" t="n">
        <f aca="false">(G48+H48)/2</f>
        <v>2</v>
      </c>
      <c r="J48" s="9" t="n">
        <v>2</v>
      </c>
      <c r="K48" s="5" t="s">
        <v>357</v>
      </c>
      <c r="L48" s="5" t="s">
        <v>331</v>
      </c>
      <c r="M48" s="9" t="s">
        <v>227</v>
      </c>
      <c r="N48" s="9"/>
      <c r="O48" s="9"/>
      <c r="P48" s="5" t="s">
        <v>228</v>
      </c>
      <c r="Q48" s="5" t="s">
        <v>53</v>
      </c>
      <c r="R48" s="5" t="s">
        <v>358</v>
      </c>
      <c r="S48" s="5" t="s">
        <v>74</v>
      </c>
      <c r="T48" s="5"/>
    </row>
    <row r="49" customFormat="false" ht="67.5" hidden="false" customHeight="true" outlineLevel="0" collapsed="false">
      <c r="A49" s="6" t="s">
        <v>359</v>
      </c>
      <c r="B49" s="6" t="s">
        <v>85</v>
      </c>
      <c r="C49" s="6" t="s">
        <v>76</v>
      </c>
      <c r="D49" s="6" t="n">
        <v>46</v>
      </c>
      <c r="E49" s="6" t="s">
        <v>360</v>
      </c>
      <c r="F49" s="6" t="s">
        <v>232</v>
      </c>
      <c r="G49" s="9" t="n">
        <v>2</v>
      </c>
      <c r="H49" s="9" t="n">
        <v>1</v>
      </c>
      <c r="I49" s="8" t="n">
        <f aca="false">(G49+H49)/2</f>
        <v>1.5</v>
      </c>
      <c r="J49" s="9" t="n">
        <v>3</v>
      </c>
      <c r="K49" s="6" t="s">
        <v>355</v>
      </c>
      <c r="L49" s="6"/>
      <c r="M49" s="9" t="s">
        <v>227</v>
      </c>
      <c r="N49" s="9"/>
      <c r="O49" s="9"/>
      <c r="P49" s="6" t="s">
        <v>233</v>
      </c>
      <c r="Q49" s="6" t="s">
        <v>53</v>
      </c>
      <c r="R49" s="6" t="s">
        <v>358</v>
      </c>
      <c r="S49" s="6" t="s">
        <v>74</v>
      </c>
      <c r="T49" s="6"/>
    </row>
    <row r="50" customFormat="false" ht="67.5" hidden="false" customHeight="true" outlineLevel="0" collapsed="false">
      <c r="A50" s="5" t="s">
        <v>361</v>
      </c>
      <c r="B50" s="5" t="s">
        <v>85</v>
      </c>
      <c r="C50" s="5" t="s">
        <v>76</v>
      </c>
      <c r="D50" s="5" t="n">
        <v>47</v>
      </c>
      <c r="E50" s="5" t="s">
        <v>362</v>
      </c>
      <c r="F50" s="5" t="s">
        <v>232</v>
      </c>
      <c r="G50" s="9" t="n">
        <v>2</v>
      </c>
      <c r="H50" s="9" t="n">
        <v>1</v>
      </c>
      <c r="I50" s="8" t="n">
        <f aca="false">(G50+H50)/2</f>
        <v>1.5</v>
      </c>
      <c r="J50" s="9" t="n">
        <v>3</v>
      </c>
      <c r="K50" s="5" t="s">
        <v>359</v>
      </c>
      <c r="L50" s="5"/>
      <c r="M50" s="9" t="s">
        <v>227</v>
      </c>
      <c r="N50" s="9"/>
      <c r="O50" s="9"/>
      <c r="P50" s="5" t="s">
        <v>233</v>
      </c>
      <c r="Q50" s="5" t="s">
        <v>53</v>
      </c>
      <c r="R50" s="5" t="s">
        <v>358</v>
      </c>
      <c r="S50" s="5" t="s">
        <v>74</v>
      </c>
      <c r="T50" s="5"/>
    </row>
    <row r="51" customFormat="false" ht="67.5" hidden="false" customHeight="true" outlineLevel="0" collapsed="false">
      <c r="A51" s="6" t="s">
        <v>363</v>
      </c>
      <c r="B51" s="6" t="s">
        <v>85</v>
      </c>
      <c r="C51" s="6" t="s">
        <v>76</v>
      </c>
      <c r="D51" s="6" t="n">
        <v>48</v>
      </c>
      <c r="E51" s="6" t="s">
        <v>364</v>
      </c>
      <c r="F51" s="6" t="s">
        <v>232</v>
      </c>
      <c r="G51" s="9" t="n">
        <v>2</v>
      </c>
      <c r="H51" s="9" t="n">
        <v>1</v>
      </c>
      <c r="I51" s="8" t="n">
        <f aca="false">(G51+H51)/2</f>
        <v>1.5</v>
      </c>
      <c r="J51" s="9" t="n">
        <v>3</v>
      </c>
      <c r="K51" s="6" t="s">
        <v>361</v>
      </c>
      <c r="L51" s="6"/>
      <c r="M51" s="9" t="s">
        <v>227</v>
      </c>
      <c r="N51" s="9"/>
      <c r="O51" s="9"/>
      <c r="P51" s="6" t="s">
        <v>233</v>
      </c>
      <c r="Q51" s="6" t="s">
        <v>53</v>
      </c>
      <c r="R51" s="6" t="s">
        <v>244</v>
      </c>
      <c r="S51" s="6" t="s">
        <v>74</v>
      </c>
      <c r="T51" s="6"/>
    </row>
    <row r="52" customFormat="false" ht="67.5" hidden="false" customHeight="true" outlineLevel="0" collapsed="false">
      <c r="A52" s="5" t="s">
        <v>365</v>
      </c>
      <c r="B52" s="5" t="s">
        <v>102</v>
      </c>
      <c r="C52" s="5" t="s">
        <v>76</v>
      </c>
      <c r="D52" s="5" t="n">
        <v>49</v>
      </c>
      <c r="E52" s="5" t="s">
        <v>366</v>
      </c>
      <c r="F52" s="5" t="s">
        <v>225</v>
      </c>
      <c r="G52" s="9" t="n">
        <v>1</v>
      </c>
      <c r="H52" s="9" t="n">
        <v>3</v>
      </c>
      <c r="I52" s="8" t="n">
        <f aca="false">(G52+H52)/2</f>
        <v>2</v>
      </c>
      <c r="J52" s="9" t="n">
        <v>2</v>
      </c>
      <c r="K52" s="5" t="s">
        <v>367</v>
      </c>
      <c r="L52" s="5" t="s">
        <v>331</v>
      </c>
      <c r="M52" s="9" t="s">
        <v>227</v>
      </c>
      <c r="N52" s="9"/>
      <c r="O52" s="9"/>
      <c r="P52" s="5" t="s">
        <v>228</v>
      </c>
      <c r="Q52" s="5" t="s">
        <v>53</v>
      </c>
      <c r="R52" s="5" t="s">
        <v>358</v>
      </c>
      <c r="S52" s="5" t="s">
        <v>74</v>
      </c>
      <c r="T52" s="5"/>
    </row>
    <row r="53" customFormat="false" ht="67.5" hidden="false" customHeight="true" outlineLevel="0" collapsed="false">
      <c r="A53" s="6" t="s">
        <v>368</v>
      </c>
      <c r="B53" s="6" t="s">
        <v>102</v>
      </c>
      <c r="C53" s="6" t="s">
        <v>76</v>
      </c>
      <c r="D53" s="6" t="n">
        <v>50</v>
      </c>
      <c r="E53" s="6" t="s">
        <v>369</v>
      </c>
      <c r="F53" s="6" t="s">
        <v>232</v>
      </c>
      <c r="G53" s="9" t="n">
        <v>2</v>
      </c>
      <c r="H53" s="9" t="n">
        <v>1</v>
      </c>
      <c r="I53" s="8" t="n">
        <f aca="false">(G53+H53)/2</f>
        <v>1.5</v>
      </c>
      <c r="J53" s="9" t="n">
        <v>3</v>
      </c>
      <c r="K53" s="6" t="s">
        <v>365</v>
      </c>
      <c r="L53" s="6"/>
      <c r="M53" s="9" t="s">
        <v>227</v>
      </c>
      <c r="N53" s="9"/>
      <c r="O53" s="9"/>
      <c r="P53" s="6" t="s">
        <v>233</v>
      </c>
      <c r="Q53" s="6" t="s">
        <v>53</v>
      </c>
      <c r="R53" s="6" t="s">
        <v>358</v>
      </c>
      <c r="S53" s="6" t="s">
        <v>74</v>
      </c>
      <c r="T53" s="6"/>
    </row>
    <row r="54" customFormat="false" ht="67.5" hidden="false" customHeight="true" outlineLevel="0" collapsed="false">
      <c r="A54" s="5" t="s">
        <v>370</v>
      </c>
      <c r="B54" s="5" t="s">
        <v>102</v>
      </c>
      <c r="C54" s="5" t="s">
        <v>76</v>
      </c>
      <c r="D54" s="5" t="n">
        <v>51</v>
      </c>
      <c r="E54" s="5" t="s">
        <v>371</v>
      </c>
      <c r="F54" s="5" t="s">
        <v>232</v>
      </c>
      <c r="G54" s="9" t="n">
        <v>2</v>
      </c>
      <c r="H54" s="9" t="n">
        <v>1</v>
      </c>
      <c r="I54" s="8" t="n">
        <f aca="false">(G54+H54)/2</f>
        <v>1.5</v>
      </c>
      <c r="J54" s="9" t="n">
        <v>3</v>
      </c>
      <c r="K54" s="5" t="s">
        <v>368</v>
      </c>
      <c r="L54" s="5"/>
      <c r="M54" s="9" t="s">
        <v>227</v>
      </c>
      <c r="N54" s="9"/>
      <c r="O54" s="9"/>
      <c r="P54" s="5" t="s">
        <v>233</v>
      </c>
      <c r="Q54" s="5" t="s">
        <v>53</v>
      </c>
      <c r="R54" s="5" t="s">
        <v>244</v>
      </c>
      <c r="S54" s="5" t="s">
        <v>74</v>
      </c>
      <c r="T54" s="5"/>
    </row>
    <row r="55" customFormat="false" ht="67.5" hidden="false" customHeight="true" outlineLevel="0" collapsed="false">
      <c r="A55" s="6" t="s">
        <v>372</v>
      </c>
      <c r="B55" s="6" t="s">
        <v>161</v>
      </c>
      <c r="C55" s="6" t="s">
        <v>76</v>
      </c>
      <c r="D55" s="6" t="n">
        <v>52</v>
      </c>
      <c r="E55" s="6" t="s">
        <v>373</v>
      </c>
      <c r="F55" s="6" t="s">
        <v>225</v>
      </c>
      <c r="G55" s="9" t="n">
        <v>1</v>
      </c>
      <c r="H55" s="9" t="n">
        <v>3</v>
      </c>
      <c r="I55" s="8" t="n">
        <f aca="false">(G55+H55)/2</f>
        <v>2</v>
      </c>
      <c r="J55" s="9" t="n">
        <v>2</v>
      </c>
      <c r="K55" s="6" t="s">
        <v>374</v>
      </c>
      <c r="L55" s="6" t="s">
        <v>258</v>
      </c>
      <c r="M55" s="9" t="s">
        <v>227</v>
      </c>
      <c r="N55" s="9"/>
      <c r="O55" s="9"/>
      <c r="P55" s="6" t="s">
        <v>228</v>
      </c>
      <c r="Q55" s="6" t="s">
        <v>159</v>
      </c>
      <c r="R55" s="6" t="s">
        <v>297</v>
      </c>
      <c r="S55" s="6" t="s">
        <v>74</v>
      </c>
      <c r="T55" s="6"/>
    </row>
    <row r="56" customFormat="false" ht="67.5" hidden="false" customHeight="true" outlineLevel="0" collapsed="false">
      <c r="A56" s="5" t="s">
        <v>375</v>
      </c>
      <c r="B56" s="5" t="s">
        <v>161</v>
      </c>
      <c r="C56" s="5" t="s">
        <v>76</v>
      </c>
      <c r="D56" s="5" t="n">
        <v>53</v>
      </c>
      <c r="E56" s="5" t="s">
        <v>376</v>
      </c>
      <c r="F56" s="5" t="s">
        <v>232</v>
      </c>
      <c r="G56" s="9" t="n">
        <v>2</v>
      </c>
      <c r="H56" s="9" t="n">
        <v>1</v>
      </c>
      <c r="I56" s="8" t="n">
        <f aca="false">(G56+H56)/2</f>
        <v>1.5</v>
      </c>
      <c r="J56" s="9" t="n">
        <v>3</v>
      </c>
      <c r="K56" s="5" t="s">
        <v>372</v>
      </c>
      <c r="L56" s="5"/>
      <c r="M56" s="9" t="s">
        <v>227</v>
      </c>
      <c r="N56" s="9"/>
      <c r="O56" s="9"/>
      <c r="P56" s="5" t="s">
        <v>233</v>
      </c>
      <c r="Q56" s="5" t="s">
        <v>159</v>
      </c>
      <c r="R56" s="5" t="s">
        <v>244</v>
      </c>
      <c r="S56" s="5" t="s">
        <v>74</v>
      </c>
      <c r="T56" s="5"/>
    </row>
    <row r="57" customFormat="false" ht="67.5" hidden="false" customHeight="true" outlineLevel="0" collapsed="false">
      <c r="A57" s="6" t="s">
        <v>377</v>
      </c>
      <c r="B57" s="6" t="s">
        <v>161</v>
      </c>
      <c r="C57" s="6" t="s">
        <v>76</v>
      </c>
      <c r="D57" s="6" t="n">
        <v>54</v>
      </c>
      <c r="E57" s="6" t="s">
        <v>378</v>
      </c>
      <c r="F57" s="6" t="s">
        <v>232</v>
      </c>
      <c r="G57" s="9" t="n">
        <v>2</v>
      </c>
      <c r="H57" s="9" t="n">
        <v>1</v>
      </c>
      <c r="I57" s="8" t="n">
        <f aca="false">(G57+H57)/2</f>
        <v>1.5</v>
      </c>
      <c r="J57" s="9" t="n">
        <v>3</v>
      </c>
      <c r="K57" s="6" t="s">
        <v>375</v>
      </c>
      <c r="L57" s="6"/>
      <c r="M57" s="9" t="s">
        <v>227</v>
      </c>
      <c r="N57" s="9"/>
      <c r="O57" s="9"/>
      <c r="P57" s="6" t="s">
        <v>233</v>
      </c>
      <c r="Q57" s="6" t="s">
        <v>159</v>
      </c>
      <c r="R57" s="6" t="s">
        <v>297</v>
      </c>
      <c r="S57" s="6" t="s">
        <v>74</v>
      </c>
      <c r="T57" s="6"/>
    </row>
    <row r="58" customFormat="false" ht="67.5" hidden="false" customHeight="true" outlineLevel="0" collapsed="false">
      <c r="A58" s="5" t="s">
        <v>379</v>
      </c>
      <c r="B58" s="5" t="s">
        <v>161</v>
      </c>
      <c r="C58" s="5" t="s">
        <v>76</v>
      </c>
      <c r="D58" s="5" t="n">
        <v>55</v>
      </c>
      <c r="E58" s="5" t="s">
        <v>380</v>
      </c>
      <c r="F58" s="5" t="s">
        <v>232</v>
      </c>
      <c r="G58" s="9" t="n">
        <v>2</v>
      </c>
      <c r="H58" s="9" t="n">
        <v>1</v>
      </c>
      <c r="I58" s="8" t="n">
        <f aca="false">(G58+H58)/2</f>
        <v>1.5</v>
      </c>
      <c r="J58" s="9" t="n">
        <v>3</v>
      </c>
      <c r="K58" s="5" t="s">
        <v>377</v>
      </c>
      <c r="L58" s="5"/>
      <c r="M58" s="9" t="s">
        <v>227</v>
      </c>
      <c r="N58" s="9"/>
      <c r="O58" s="9"/>
      <c r="P58" s="5" t="s">
        <v>233</v>
      </c>
      <c r="Q58" s="5" t="s">
        <v>159</v>
      </c>
      <c r="R58" s="5" t="s">
        <v>244</v>
      </c>
      <c r="S58" s="5" t="s">
        <v>74</v>
      </c>
      <c r="T58" s="5"/>
    </row>
    <row r="59" customFormat="false" ht="67.5" hidden="false" customHeight="true" outlineLevel="0" collapsed="false">
      <c r="A59" s="6" t="s">
        <v>381</v>
      </c>
      <c r="B59" s="6" t="s">
        <v>139</v>
      </c>
      <c r="C59" s="6" t="s">
        <v>76</v>
      </c>
      <c r="D59" s="6" t="n">
        <v>56</v>
      </c>
      <c r="E59" s="6" t="s">
        <v>382</v>
      </c>
      <c r="F59" s="6" t="s">
        <v>225</v>
      </c>
      <c r="G59" s="9" t="n">
        <v>1</v>
      </c>
      <c r="H59" s="9" t="n">
        <v>3</v>
      </c>
      <c r="I59" s="8" t="n">
        <f aca="false">(G59+H59)/2</f>
        <v>2</v>
      </c>
      <c r="J59" s="9" t="n">
        <v>2</v>
      </c>
      <c r="K59" s="6" t="s">
        <v>383</v>
      </c>
      <c r="L59" s="6" t="s">
        <v>335</v>
      </c>
      <c r="M59" s="9" t="s">
        <v>227</v>
      </c>
      <c r="N59" s="9"/>
      <c r="O59" s="9"/>
      <c r="P59" s="6" t="s">
        <v>228</v>
      </c>
      <c r="Q59" s="6" t="s">
        <v>128</v>
      </c>
      <c r="R59" s="6" t="s">
        <v>358</v>
      </c>
      <c r="S59" s="6" t="s">
        <v>55</v>
      </c>
      <c r="T59" s="6" t="s">
        <v>384</v>
      </c>
    </row>
    <row r="60" customFormat="false" ht="67.5" hidden="false" customHeight="true" outlineLevel="0" collapsed="false">
      <c r="A60" s="5" t="s">
        <v>385</v>
      </c>
      <c r="B60" s="5" t="s">
        <v>139</v>
      </c>
      <c r="C60" s="5" t="s">
        <v>76</v>
      </c>
      <c r="D60" s="5" t="n">
        <v>57</v>
      </c>
      <c r="E60" s="5" t="s">
        <v>386</v>
      </c>
      <c r="F60" s="5" t="s">
        <v>232</v>
      </c>
      <c r="G60" s="9" t="n">
        <v>2</v>
      </c>
      <c r="H60" s="9" t="n">
        <v>1</v>
      </c>
      <c r="I60" s="8" t="n">
        <f aca="false">(G60+H60)/2</f>
        <v>1.5</v>
      </c>
      <c r="J60" s="9" t="n">
        <v>3</v>
      </c>
      <c r="K60" s="5" t="s">
        <v>381</v>
      </c>
      <c r="L60" s="5"/>
      <c r="M60" s="9" t="s">
        <v>227</v>
      </c>
      <c r="N60" s="9"/>
      <c r="O60" s="9"/>
      <c r="P60" s="5" t="s">
        <v>233</v>
      </c>
      <c r="Q60" s="5" t="s">
        <v>128</v>
      </c>
      <c r="R60" s="5" t="s">
        <v>358</v>
      </c>
      <c r="S60" s="5" t="s">
        <v>74</v>
      </c>
      <c r="T60" s="5"/>
    </row>
    <row r="61" customFormat="false" ht="67.5" hidden="false" customHeight="true" outlineLevel="0" collapsed="false">
      <c r="A61" s="6" t="s">
        <v>387</v>
      </c>
      <c r="B61" s="6" t="s">
        <v>139</v>
      </c>
      <c r="C61" s="6" t="s">
        <v>76</v>
      </c>
      <c r="D61" s="6" t="n">
        <v>58</v>
      </c>
      <c r="E61" s="6" t="s">
        <v>388</v>
      </c>
      <c r="F61" s="6" t="s">
        <v>232</v>
      </c>
      <c r="G61" s="9" t="n">
        <v>2</v>
      </c>
      <c r="H61" s="9" t="n">
        <v>1</v>
      </c>
      <c r="I61" s="8" t="n">
        <f aca="false">(G61+H61)/2</f>
        <v>1.5</v>
      </c>
      <c r="J61" s="9" t="n">
        <v>3</v>
      </c>
      <c r="K61" s="6" t="s">
        <v>385</v>
      </c>
      <c r="L61" s="6"/>
      <c r="M61" s="9" t="s">
        <v>227</v>
      </c>
      <c r="N61" s="9"/>
      <c r="O61" s="9"/>
      <c r="P61" s="6" t="s">
        <v>233</v>
      </c>
      <c r="Q61" s="6" t="s">
        <v>128</v>
      </c>
      <c r="R61" s="6" t="s">
        <v>244</v>
      </c>
      <c r="S61" s="6" t="s">
        <v>74</v>
      </c>
      <c r="T61" s="6"/>
    </row>
    <row r="62" customFormat="false" ht="67.5" hidden="false" customHeight="true" outlineLevel="0" collapsed="false">
      <c r="A62" s="5" t="s">
        <v>389</v>
      </c>
      <c r="B62" s="5" t="s">
        <v>139</v>
      </c>
      <c r="C62" s="5" t="s">
        <v>76</v>
      </c>
      <c r="D62" s="5" t="n">
        <v>59</v>
      </c>
      <c r="E62" s="5" t="s">
        <v>390</v>
      </c>
      <c r="F62" s="5" t="s">
        <v>232</v>
      </c>
      <c r="G62" s="9" t="n">
        <v>2</v>
      </c>
      <c r="H62" s="9" t="n">
        <v>1</v>
      </c>
      <c r="I62" s="8" t="n">
        <f aca="false">(G62+H62)/2</f>
        <v>1.5</v>
      </c>
      <c r="J62" s="9" t="n">
        <v>3</v>
      </c>
      <c r="K62" s="5" t="s">
        <v>387</v>
      </c>
      <c r="L62" s="5"/>
      <c r="M62" s="9" t="s">
        <v>227</v>
      </c>
      <c r="N62" s="9"/>
      <c r="O62" s="9"/>
      <c r="P62" s="5" t="s">
        <v>233</v>
      </c>
      <c r="Q62" s="5" t="s">
        <v>128</v>
      </c>
      <c r="R62" s="5" t="s">
        <v>358</v>
      </c>
      <c r="S62" s="5" t="s">
        <v>55</v>
      </c>
      <c r="T62" s="5" t="s">
        <v>391</v>
      </c>
    </row>
    <row r="63" customFormat="false" ht="67.5" hidden="false" customHeight="true" outlineLevel="0" collapsed="false">
      <c r="A63" s="6" t="s">
        <v>392</v>
      </c>
      <c r="B63" s="6" t="s">
        <v>152</v>
      </c>
      <c r="C63" s="6" t="s">
        <v>76</v>
      </c>
      <c r="D63" s="6" t="n">
        <v>60</v>
      </c>
      <c r="E63" s="6" t="s">
        <v>393</v>
      </c>
      <c r="F63" s="6" t="s">
        <v>225</v>
      </c>
      <c r="G63" s="9" t="n">
        <v>1</v>
      </c>
      <c r="H63" s="9" t="n">
        <v>3</v>
      </c>
      <c r="I63" s="8" t="n">
        <f aca="false">(G63+H63)/2</f>
        <v>2</v>
      </c>
      <c r="J63" s="9" t="n">
        <v>2</v>
      </c>
      <c r="K63" s="6" t="s">
        <v>394</v>
      </c>
      <c r="L63" s="6" t="s">
        <v>331</v>
      </c>
      <c r="M63" s="9" t="s">
        <v>227</v>
      </c>
      <c r="N63" s="9"/>
      <c r="O63" s="9"/>
      <c r="P63" s="6" t="s">
        <v>228</v>
      </c>
      <c r="Q63" s="6" t="s">
        <v>128</v>
      </c>
      <c r="R63" s="6" t="s">
        <v>395</v>
      </c>
      <c r="S63" s="6" t="s">
        <v>74</v>
      </c>
      <c r="T63" s="6"/>
    </row>
    <row r="64" customFormat="false" ht="67.5" hidden="false" customHeight="true" outlineLevel="0" collapsed="false">
      <c r="A64" s="5" t="s">
        <v>396</v>
      </c>
      <c r="B64" s="5" t="s">
        <v>152</v>
      </c>
      <c r="C64" s="5" t="s">
        <v>76</v>
      </c>
      <c r="D64" s="5" t="n">
        <v>61</v>
      </c>
      <c r="E64" s="5" t="s">
        <v>397</v>
      </c>
      <c r="F64" s="5" t="s">
        <v>232</v>
      </c>
      <c r="G64" s="9" t="n">
        <v>2</v>
      </c>
      <c r="H64" s="9" t="n">
        <v>1</v>
      </c>
      <c r="I64" s="8" t="n">
        <f aca="false">(G64+H64)/2</f>
        <v>1.5</v>
      </c>
      <c r="J64" s="9" t="n">
        <v>3</v>
      </c>
      <c r="K64" s="5" t="s">
        <v>392</v>
      </c>
      <c r="L64" s="5"/>
      <c r="M64" s="9" t="s">
        <v>227</v>
      </c>
      <c r="N64" s="9"/>
      <c r="O64" s="9"/>
      <c r="P64" s="5" t="s">
        <v>233</v>
      </c>
      <c r="Q64" s="5" t="s">
        <v>128</v>
      </c>
      <c r="R64" s="5" t="s">
        <v>395</v>
      </c>
      <c r="S64" s="5" t="s">
        <v>74</v>
      </c>
      <c r="T64" s="5"/>
    </row>
    <row r="65" customFormat="false" ht="67.5" hidden="false" customHeight="true" outlineLevel="0" collapsed="false">
      <c r="A65" s="6" t="s">
        <v>398</v>
      </c>
      <c r="B65" s="6" t="s">
        <v>152</v>
      </c>
      <c r="C65" s="6" t="s">
        <v>76</v>
      </c>
      <c r="D65" s="6" t="n">
        <v>62</v>
      </c>
      <c r="E65" s="6" t="s">
        <v>399</v>
      </c>
      <c r="F65" s="6" t="s">
        <v>302</v>
      </c>
      <c r="G65" s="9" t="n">
        <v>2</v>
      </c>
      <c r="H65" s="9" t="n">
        <v>1</v>
      </c>
      <c r="I65" s="8" t="n">
        <f aca="false">(G65+H65)/2</f>
        <v>1.5</v>
      </c>
      <c r="J65" s="9" t="n">
        <v>3</v>
      </c>
      <c r="K65" s="6" t="s">
        <v>396</v>
      </c>
      <c r="L65" s="6"/>
      <c r="M65" s="9" t="s">
        <v>227</v>
      </c>
      <c r="N65" s="9"/>
      <c r="O65" s="9"/>
      <c r="P65" s="6" t="s">
        <v>228</v>
      </c>
      <c r="Q65" s="6" t="s">
        <v>128</v>
      </c>
      <c r="R65" s="6" t="s">
        <v>395</v>
      </c>
      <c r="S65" s="6" t="s">
        <v>74</v>
      </c>
      <c r="T65" s="6"/>
    </row>
    <row r="66" customFormat="false" ht="67.5" hidden="false" customHeight="true" outlineLevel="0" collapsed="false">
      <c r="A66" s="5" t="s">
        <v>400</v>
      </c>
      <c r="B66" s="5" t="s">
        <v>152</v>
      </c>
      <c r="C66" s="5" t="s">
        <v>76</v>
      </c>
      <c r="D66" s="5" t="n">
        <v>63</v>
      </c>
      <c r="E66" s="5" t="s">
        <v>401</v>
      </c>
      <c r="F66" s="5" t="s">
        <v>232</v>
      </c>
      <c r="G66" s="9" t="n">
        <v>2</v>
      </c>
      <c r="H66" s="9" t="n">
        <v>1</v>
      </c>
      <c r="I66" s="8" t="n">
        <f aca="false">(G66+H66)/2</f>
        <v>1.5</v>
      </c>
      <c r="J66" s="9" t="n">
        <v>3</v>
      </c>
      <c r="K66" s="5" t="s">
        <v>398</v>
      </c>
      <c r="L66" s="5"/>
      <c r="M66" s="9" t="s">
        <v>227</v>
      </c>
      <c r="N66" s="9"/>
      <c r="O66" s="9"/>
      <c r="P66" s="5" t="s">
        <v>233</v>
      </c>
      <c r="Q66" s="5" t="s">
        <v>128</v>
      </c>
      <c r="R66" s="5" t="s">
        <v>244</v>
      </c>
      <c r="S66" s="5" t="s">
        <v>74</v>
      </c>
      <c r="T66" s="5"/>
    </row>
    <row r="67" customFormat="false" ht="67.5" hidden="false" customHeight="true" outlineLevel="0" collapsed="false">
      <c r="A67" s="6" t="s">
        <v>402</v>
      </c>
      <c r="B67" s="6" t="s">
        <v>152</v>
      </c>
      <c r="C67" s="6" t="s">
        <v>76</v>
      </c>
      <c r="D67" s="6" t="n">
        <v>64</v>
      </c>
      <c r="E67" s="6" t="s">
        <v>403</v>
      </c>
      <c r="F67" s="6" t="s">
        <v>232</v>
      </c>
      <c r="G67" s="9" t="n">
        <v>2</v>
      </c>
      <c r="H67" s="9" t="n">
        <v>1</v>
      </c>
      <c r="I67" s="8" t="n">
        <f aca="false">(G67+H67)/2</f>
        <v>1.5</v>
      </c>
      <c r="J67" s="9" t="n">
        <v>3</v>
      </c>
      <c r="K67" s="6" t="s">
        <v>400</v>
      </c>
      <c r="L67" s="6"/>
      <c r="M67" s="9" t="s">
        <v>227</v>
      </c>
      <c r="N67" s="9"/>
      <c r="O67" s="9"/>
      <c r="P67" s="6" t="s">
        <v>233</v>
      </c>
      <c r="Q67" s="6" t="s">
        <v>128</v>
      </c>
      <c r="R67" s="6" t="s">
        <v>395</v>
      </c>
      <c r="S67" s="6" t="s">
        <v>74</v>
      </c>
      <c r="T67" s="6"/>
    </row>
    <row r="68" customFormat="false" ht="67.5" hidden="false" customHeight="true" outlineLevel="0" collapsed="false">
      <c r="A68" s="5" t="s">
        <v>404</v>
      </c>
      <c r="B68" s="5" t="s">
        <v>223</v>
      </c>
      <c r="C68" s="5" t="s">
        <v>50</v>
      </c>
      <c r="D68" s="5" t="n">
        <v>65</v>
      </c>
      <c r="E68" s="5" t="s">
        <v>405</v>
      </c>
      <c r="F68" s="5" t="s">
        <v>225</v>
      </c>
      <c r="G68" s="9" t="n">
        <v>1</v>
      </c>
      <c r="H68" s="9" t="n">
        <v>3</v>
      </c>
      <c r="I68" s="8" t="n">
        <f aca="false">(G68+H68)/2</f>
        <v>2</v>
      </c>
      <c r="J68" s="9" t="n">
        <v>2</v>
      </c>
      <c r="K68" s="5" t="s">
        <v>256</v>
      </c>
      <c r="L68" s="5" t="s">
        <v>272</v>
      </c>
      <c r="M68" s="9" t="s">
        <v>227</v>
      </c>
      <c r="N68" s="9"/>
      <c r="O68" s="9"/>
      <c r="P68" s="5" t="s">
        <v>228</v>
      </c>
      <c r="Q68" s="5" t="s">
        <v>53</v>
      </c>
      <c r="R68" s="5" t="s">
        <v>273</v>
      </c>
      <c r="S68" s="5" t="s">
        <v>55</v>
      </c>
      <c r="T68" s="5" t="s">
        <v>406</v>
      </c>
    </row>
    <row r="69" customFormat="false" ht="67.5" hidden="false" customHeight="true" outlineLevel="0" collapsed="false">
      <c r="A69" s="6" t="s">
        <v>407</v>
      </c>
      <c r="B69" s="6" t="s">
        <v>121</v>
      </c>
      <c r="C69" s="6" t="s">
        <v>50</v>
      </c>
      <c r="D69" s="6" t="n">
        <v>66</v>
      </c>
      <c r="E69" s="6" t="s">
        <v>408</v>
      </c>
      <c r="F69" s="6" t="s">
        <v>225</v>
      </c>
      <c r="G69" s="9" t="n">
        <v>1</v>
      </c>
      <c r="H69" s="9" t="n">
        <v>3</v>
      </c>
      <c r="I69" s="8" t="n">
        <f aca="false">(G69+H69)/2</f>
        <v>2</v>
      </c>
      <c r="J69" s="9" t="n">
        <v>2</v>
      </c>
      <c r="K69" s="6" t="s">
        <v>409</v>
      </c>
      <c r="L69" s="6"/>
      <c r="M69" s="9" t="s">
        <v>227</v>
      </c>
      <c r="N69" s="9"/>
      <c r="O69" s="9"/>
      <c r="P69" s="6" t="s">
        <v>228</v>
      </c>
      <c r="Q69" s="6" t="s">
        <v>118</v>
      </c>
      <c r="R69" s="6" t="s">
        <v>283</v>
      </c>
      <c r="S69" s="6" t="s">
        <v>74</v>
      </c>
      <c r="T69" s="6"/>
    </row>
    <row r="70" customFormat="false" ht="67.5" hidden="false" customHeight="true" outlineLevel="0" collapsed="false">
      <c r="A70" s="5" t="s">
        <v>410</v>
      </c>
      <c r="B70" s="5" t="s">
        <v>121</v>
      </c>
      <c r="C70" s="5" t="s">
        <v>50</v>
      </c>
      <c r="D70" s="5" t="n">
        <v>67</v>
      </c>
      <c r="E70" s="5" t="s">
        <v>411</v>
      </c>
      <c r="F70" s="5" t="s">
        <v>232</v>
      </c>
      <c r="G70" s="9" t="n">
        <v>2</v>
      </c>
      <c r="H70" s="9" t="n">
        <v>1</v>
      </c>
      <c r="I70" s="8" t="n">
        <f aca="false">(G70+H70)/2</f>
        <v>1.5</v>
      </c>
      <c r="J70" s="9" t="n">
        <v>3</v>
      </c>
      <c r="K70" s="5" t="s">
        <v>407</v>
      </c>
      <c r="L70" s="5"/>
      <c r="M70" s="9" t="s">
        <v>227</v>
      </c>
      <c r="N70" s="9"/>
      <c r="O70" s="9"/>
      <c r="P70" s="5" t="s">
        <v>233</v>
      </c>
      <c r="Q70" s="5" t="s">
        <v>118</v>
      </c>
      <c r="R70" s="5" t="s">
        <v>283</v>
      </c>
      <c r="S70" s="5" t="s">
        <v>74</v>
      </c>
      <c r="T70" s="5"/>
    </row>
    <row r="71" customFormat="false" ht="67.5" hidden="false" customHeight="true" outlineLevel="0" collapsed="false">
      <c r="A71" s="6" t="s">
        <v>412</v>
      </c>
      <c r="B71" s="6" t="s">
        <v>121</v>
      </c>
      <c r="C71" s="6" t="s">
        <v>50</v>
      </c>
      <c r="D71" s="6" t="n">
        <v>68</v>
      </c>
      <c r="E71" s="6" t="s">
        <v>413</v>
      </c>
      <c r="F71" s="6" t="s">
        <v>232</v>
      </c>
      <c r="G71" s="9" t="n">
        <v>2</v>
      </c>
      <c r="H71" s="9" t="n">
        <v>1</v>
      </c>
      <c r="I71" s="8" t="n">
        <f aca="false">(G71+H71)/2</f>
        <v>1.5</v>
      </c>
      <c r="J71" s="9" t="n">
        <v>3</v>
      </c>
      <c r="K71" s="6" t="s">
        <v>410</v>
      </c>
      <c r="L71" s="6"/>
      <c r="M71" s="9" t="s">
        <v>227</v>
      </c>
      <c r="N71" s="9"/>
      <c r="O71" s="9"/>
      <c r="P71" s="6" t="s">
        <v>233</v>
      </c>
      <c r="Q71" s="6" t="s">
        <v>118</v>
      </c>
      <c r="R71" s="6" t="s">
        <v>244</v>
      </c>
      <c r="S71" s="6" t="s">
        <v>74</v>
      </c>
      <c r="T71" s="6"/>
    </row>
    <row r="72" customFormat="false" ht="67.5" hidden="false" customHeight="true" outlineLevel="0" collapsed="false">
      <c r="A72" s="5" t="s">
        <v>414</v>
      </c>
      <c r="B72" s="5" t="s">
        <v>165</v>
      </c>
      <c r="C72" s="5" t="s">
        <v>50</v>
      </c>
      <c r="D72" s="5" t="n">
        <v>69</v>
      </c>
      <c r="E72" s="5" t="s">
        <v>415</v>
      </c>
      <c r="F72" s="5" t="s">
        <v>225</v>
      </c>
      <c r="G72" s="9" t="n">
        <v>1</v>
      </c>
      <c r="H72" s="9" t="n">
        <v>3</v>
      </c>
      <c r="I72" s="8" t="n">
        <f aca="false">(G72+H72)/2</f>
        <v>2</v>
      </c>
      <c r="J72" s="9" t="n">
        <v>2</v>
      </c>
      <c r="K72" s="5" t="s">
        <v>416</v>
      </c>
      <c r="L72" s="5" t="s">
        <v>335</v>
      </c>
      <c r="M72" s="9" t="s">
        <v>227</v>
      </c>
      <c r="N72" s="9"/>
      <c r="O72" s="9"/>
      <c r="P72" s="5" t="s">
        <v>228</v>
      </c>
      <c r="Q72" s="5" t="s">
        <v>53</v>
      </c>
      <c r="R72" s="5" t="s">
        <v>283</v>
      </c>
      <c r="S72" s="5" t="s">
        <v>74</v>
      </c>
      <c r="T72" s="5"/>
    </row>
    <row r="73" customFormat="false" ht="67.5" hidden="false" customHeight="true" outlineLevel="0" collapsed="false">
      <c r="A73" s="6" t="s">
        <v>417</v>
      </c>
      <c r="B73" s="6" t="s">
        <v>165</v>
      </c>
      <c r="C73" s="6" t="s">
        <v>50</v>
      </c>
      <c r="D73" s="6" t="n">
        <v>70</v>
      </c>
      <c r="E73" s="6" t="s">
        <v>418</v>
      </c>
      <c r="F73" s="6" t="s">
        <v>232</v>
      </c>
      <c r="G73" s="9" t="n">
        <v>2</v>
      </c>
      <c r="H73" s="9" t="n">
        <v>1</v>
      </c>
      <c r="I73" s="8" t="n">
        <f aca="false">(G73+H73)/2</f>
        <v>1.5</v>
      </c>
      <c r="J73" s="9" t="n">
        <v>3</v>
      </c>
      <c r="K73" s="6" t="s">
        <v>414</v>
      </c>
      <c r="L73" s="6"/>
      <c r="M73" s="9" t="s">
        <v>227</v>
      </c>
      <c r="N73" s="9"/>
      <c r="O73" s="9"/>
      <c r="P73" s="6" t="s">
        <v>233</v>
      </c>
      <c r="Q73" s="6" t="s">
        <v>53</v>
      </c>
      <c r="R73" s="6" t="s">
        <v>283</v>
      </c>
      <c r="S73" s="6" t="s">
        <v>74</v>
      </c>
      <c r="T73" s="6"/>
    </row>
    <row r="74" customFormat="false" ht="67.5" hidden="false" customHeight="true" outlineLevel="0" collapsed="false">
      <c r="A74" s="5" t="s">
        <v>419</v>
      </c>
      <c r="B74" s="5" t="s">
        <v>165</v>
      </c>
      <c r="C74" s="5" t="s">
        <v>50</v>
      </c>
      <c r="D74" s="5" t="n">
        <v>71</v>
      </c>
      <c r="E74" s="5" t="s">
        <v>420</v>
      </c>
      <c r="F74" s="5" t="s">
        <v>232</v>
      </c>
      <c r="G74" s="9" t="n">
        <v>2</v>
      </c>
      <c r="H74" s="9" t="n">
        <v>1</v>
      </c>
      <c r="I74" s="8" t="n">
        <f aca="false">(G74+H74)/2</f>
        <v>1.5</v>
      </c>
      <c r="J74" s="9" t="n">
        <v>3</v>
      </c>
      <c r="K74" s="5" t="s">
        <v>417</v>
      </c>
      <c r="L74" s="5"/>
      <c r="M74" s="9" t="s">
        <v>227</v>
      </c>
      <c r="N74" s="9"/>
      <c r="O74" s="9"/>
      <c r="P74" s="5" t="s">
        <v>233</v>
      </c>
      <c r="Q74" s="5" t="s">
        <v>53</v>
      </c>
      <c r="R74" s="5" t="s">
        <v>283</v>
      </c>
      <c r="S74" s="5" t="s">
        <v>74</v>
      </c>
      <c r="T74" s="5"/>
    </row>
    <row r="75" customFormat="false" ht="67.5" hidden="false" customHeight="true" outlineLevel="0" collapsed="false">
      <c r="A75" s="6" t="s">
        <v>421</v>
      </c>
      <c r="B75" s="6" t="s">
        <v>49</v>
      </c>
      <c r="C75" s="6" t="s">
        <v>50</v>
      </c>
      <c r="D75" s="6" t="n">
        <v>72</v>
      </c>
      <c r="E75" s="6" t="s">
        <v>422</v>
      </c>
      <c r="F75" s="6" t="s">
        <v>225</v>
      </c>
      <c r="G75" s="9" t="n">
        <v>1</v>
      </c>
      <c r="H75" s="9" t="n">
        <v>3</v>
      </c>
      <c r="I75" s="8" t="n">
        <f aca="false">(G75+H75)/2</f>
        <v>2</v>
      </c>
      <c r="J75" s="9" t="n">
        <v>2</v>
      </c>
      <c r="K75" s="6" t="s">
        <v>423</v>
      </c>
      <c r="L75" s="6" t="s">
        <v>424</v>
      </c>
      <c r="M75" s="9" t="s">
        <v>227</v>
      </c>
      <c r="N75" s="9"/>
      <c r="O75" s="9"/>
      <c r="P75" s="6" t="s">
        <v>228</v>
      </c>
      <c r="Q75" s="6" t="s">
        <v>53</v>
      </c>
      <c r="R75" s="6" t="s">
        <v>273</v>
      </c>
      <c r="S75" s="6" t="s">
        <v>55</v>
      </c>
      <c r="T75" s="6" t="s">
        <v>425</v>
      </c>
    </row>
    <row r="76" customFormat="false" ht="67.5" hidden="false" customHeight="true" outlineLevel="0" collapsed="false">
      <c r="A76" s="5" t="s">
        <v>426</v>
      </c>
      <c r="B76" s="5" t="s">
        <v>49</v>
      </c>
      <c r="C76" s="5" t="s">
        <v>50</v>
      </c>
      <c r="D76" s="5" t="n">
        <v>73</v>
      </c>
      <c r="E76" s="5" t="s">
        <v>427</v>
      </c>
      <c r="F76" s="5" t="s">
        <v>232</v>
      </c>
      <c r="G76" s="9" t="n">
        <v>2</v>
      </c>
      <c r="H76" s="9" t="n">
        <v>1</v>
      </c>
      <c r="I76" s="8" t="n">
        <f aca="false">(G76+H76)/2</f>
        <v>1.5</v>
      </c>
      <c r="J76" s="9" t="n">
        <v>3</v>
      </c>
      <c r="K76" s="5" t="s">
        <v>428</v>
      </c>
      <c r="L76" s="5"/>
      <c r="M76" s="9" t="s">
        <v>227</v>
      </c>
      <c r="N76" s="9"/>
      <c r="O76" s="9"/>
      <c r="P76" s="5" t="s">
        <v>233</v>
      </c>
      <c r="Q76" s="5" t="s">
        <v>53</v>
      </c>
      <c r="R76" s="5" t="s">
        <v>276</v>
      </c>
      <c r="S76" s="5" t="s">
        <v>55</v>
      </c>
      <c r="T76" s="5" t="s">
        <v>429</v>
      </c>
    </row>
    <row r="77" customFormat="false" ht="67.5" hidden="false" customHeight="true" outlineLevel="0" collapsed="false">
      <c r="A77" s="6" t="s">
        <v>430</v>
      </c>
      <c r="B77" s="6" t="s">
        <v>49</v>
      </c>
      <c r="C77" s="6" t="s">
        <v>50</v>
      </c>
      <c r="D77" s="6" t="n">
        <v>74</v>
      </c>
      <c r="E77" s="6" t="s">
        <v>431</v>
      </c>
      <c r="F77" s="6" t="s">
        <v>232</v>
      </c>
      <c r="G77" s="9" t="n">
        <v>2</v>
      </c>
      <c r="H77" s="9" t="n">
        <v>1</v>
      </c>
      <c r="I77" s="8" t="n">
        <f aca="false">(G77+H77)/2</f>
        <v>1.5</v>
      </c>
      <c r="J77" s="9" t="n">
        <v>3</v>
      </c>
      <c r="K77" s="6" t="s">
        <v>426</v>
      </c>
      <c r="L77" s="6"/>
      <c r="M77" s="9" t="s">
        <v>227</v>
      </c>
      <c r="N77" s="9"/>
      <c r="O77" s="9"/>
      <c r="P77" s="6" t="s">
        <v>233</v>
      </c>
      <c r="Q77" s="6" t="s">
        <v>53</v>
      </c>
      <c r="R77" s="6" t="s">
        <v>276</v>
      </c>
      <c r="S77" s="6" t="s">
        <v>55</v>
      </c>
      <c r="T77" s="6" t="s">
        <v>432</v>
      </c>
    </row>
    <row r="78" customFormat="false" ht="67.5" hidden="false" customHeight="true" outlineLevel="0" collapsed="false">
      <c r="A78" s="5" t="s">
        <v>433</v>
      </c>
      <c r="B78" s="5" t="s">
        <v>49</v>
      </c>
      <c r="C78" s="5" t="s">
        <v>50</v>
      </c>
      <c r="D78" s="5" t="n">
        <v>75</v>
      </c>
      <c r="E78" s="5" t="s">
        <v>434</v>
      </c>
      <c r="F78" s="5" t="s">
        <v>232</v>
      </c>
      <c r="G78" s="9" t="n">
        <v>2</v>
      </c>
      <c r="H78" s="9" t="n">
        <v>1</v>
      </c>
      <c r="I78" s="8" t="n">
        <f aca="false">(G78+H78)/2</f>
        <v>1.5</v>
      </c>
      <c r="J78" s="9" t="n">
        <v>3</v>
      </c>
      <c r="K78" s="5" t="s">
        <v>430</v>
      </c>
      <c r="L78" s="5"/>
      <c r="M78" s="9" t="s">
        <v>227</v>
      </c>
      <c r="N78" s="9"/>
      <c r="O78" s="9"/>
      <c r="P78" s="5" t="s">
        <v>233</v>
      </c>
      <c r="Q78" s="5" t="s">
        <v>53</v>
      </c>
      <c r="R78" s="5" t="s">
        <v>276</v>
      </c>
      <c r="S78" s="5" t="s">
        <v>55</v>
      </c>
      <c r="T78" s="5" t="s">
        <v>435</v>
      </c>
    </row>
    <row r="79" customFormat="false" ht="67.5" hidden="false" customHeight="true" outlineLevel="0" collapsed="false">
      <c r="A79" s="6" t="s">
        <v>436</v>
      </c>
      <c r="B79" s="6" t="s">
        <v>49</v>
      </c>
      <c r="C79" s="6" t="s">
        <v>50</v>
      </c>
      <c r="D79" s="6" t="n">
        <v>76</v>
      </c>
      <c r="E79" s="6" t="s">
        <v>437</v>
      </c>
      <c r="F79" s="6" t="s">
        <v>302</v>
      </c>
      <c r="G79" s="9" t="n">
        <v>2</v>
      </c>
      <c r="H79" s="9" t="n">
        <v>1</v>
      </c>
      <c r="I79" s="8" t="n">
        <f aca="false">(G79+H79)/2</f>
        <v>1.5</v>
      </c>
      <c r="J79" s="9" t="n">
        <v>3</v>
      </c>
      <c r="K79" s="6" t="s">
        <v>433</v>
      </c>
      <c r="L79" s="6"/>
      <c r="M79" s="9" t="s">
        <v>227</v>
      </c>
      <c r="N79" s="9"/>
      <c r="O79" s="9"/>
      <c r="P79" s="6" t="s">
        <v>228</v>
      </c>
      <c r="Q79" s="6" t="s">
        <v>53</v>
      </c>
      <c r="R79" s="6" t="s">
        <v>276</v>
      </c>
      <c r="S79" s="6" t="s">
        <v>55</v>
      </c>
      <c r="T79" s="6" t="s">
        <v>438</v>
      </c>
    </row>
    <row r="80" customFormat="false" ht="67.5" hidden="false" customHeight="true" outlineLevel="0" collapsed="false">
      <c r="A80" s="5" t="s">
        <v>439</v>
      </c>
      <c r="B80" s="5" t="s">
        <v>106</v>
      </c>
      <c r="C80" s="5" t="s">
        <v>50</v>
      </c>
      <c r="D80" s="5" t="n">
        <v>77</v>
      </c>
      <c r="E80" s="5" t="s">
        <v>440</v>
      </c>
      <c r="F80" s="5" t="s">
        <v>225</v>
      </c>
      <c r="G80" s="9" t="n">
        <v>1</v>
      </c>
      <c r="H80" s="9" t="n">
        <v>3</v>
      </c>
      <c r="I80" s="8" t="n">
        <f aca="false">(G80+H80)/2</f>
        <v>2</v>
      </c>
      <c r="J80" s="9" t="n">
        <v>2</v>
      </c>
      <c r="K80" s="5" t="s">
        <v>441</v>
      </c>
      <c r="L80" s="5"/>
      <c r="M80" s="9" t="s">
        <v>227</v>
      </c>
      <c r="N80" s="9"/>
      <c r="O80" s="9"/>
      <c r="P80" s="5" t="s">
        <v>228</v>
      </c>
      <c r="Q80" s="5" t="s">
        <v>53</v>
      </c>
      <c r="R80" s="5" t="s">
        <v>283</v>
      </c>
      <c r="S80" s="5" t="s">
        <v>74</v>
      </c>
      <c r="T80" s="5"/>
    </row>
    <row r="81" customFormat="false" ht="67.5" hidden="false" customHeight="true" outlineLevel="0" collapsed="false">
      <c r="A81" s="6" t="s">
        <v>442</v>
      </c>
      <c r="B81" s="6" t="s">
        <v>106</v>
      </c>
      <c r="C81" s="6" t="s">
        <v>50</v>
      </c>
      <c r="D81" s="6" t="n">
        <v>78</v>
      </c>
      <c r="E81" s="6" t="s">
        <v>443</v>
      </c>
      <c r="F81" s="6" t="s">
        <v>232</v>
      </c>
      <c r="G81" s="9" t="n">
        <v>2</v>
      </c>
      <c r="H81" s="9" t="n">
        <v>1</v>
      </c>
      <c r="I81" s="8" t="n">
        <f aca="false">(G81+H81)/2</f>
        <v>1.5</v>
      </c>
      <c r="J81" s="9" t="n">
        <v>3</v>
      </c>
      <c r="K81" s="6" t="s">
        <v>439</v>
      </c>
      <c r="L81" s="6"/>
      <c r="M81" s="9" t="s">
        <v>227</v>
      </c>
      <c r="N81" s="9"/>
      <c r="O81" s="9"/>
      <c r="P81" s="6" t="s">
        <v>233</v>
      </c>
      <c r="Q81" s="6" t="s">
        <v>53</v>
      </c>
      <c r="R81" s="6" t="s">
        <v>283</v>
      </c>
      <c r="S81" s="6" t="s">
        <v>74</v>
      </c>
      <c r="T81" s="6"/>
    </row>
    <row r="82" customFormat="false" ht="67.5" hidden="false" customHeight="true" outlineLevel="0" collapsed="false">
      <c r="A82" s="5" t="s">
        <v>444</v>
      </c>
      <c r="B82" s="5" t="s">
        <v>106</v>
      </c>
      <c r="C82" s="5" t="s">
        <v>50</v>
      </c>
      <c r="D82" s="5" t="n">
        <v>79</v>
      </c>
      <c r="E82" s="5" t="s">
        <v>445</v>
      </c>
      <c r="F82" s="5" t="s">
        <v>232</v>
      </c>
      <c r="G82" s="9" t="n">
        <v>2</v>
      </c>
      <c r="H82" s="9" t="n">
        <v>1</v>
      </c>
      <c r="I82" s="8" t="n">
        <f aca="false">(G82+H82)/2</f>
        <v>1.5</v>
      </c>
      <c r="J82" s="9" t="n">
        <v>3</v>
      </c>
      <c r="K82" s="5" t="s">
        <v>442</v>
      </c>
      <c r="L82" s="5"/>
      <c r="M82" s="9" t="s">
        <v>227</v>
      </c>
      <c r="N82" s="9"/>
      <c r="O82" s="9"/>
      <c r="P82" s="5" t="s">
        <v>233</v>
      </c>
      <c r="Q82" s="5" t="s">
        <v>53</v>
      </c>
      <c r="R82" s="5" t="s">
        <v>283</v>
      </c>
      <c r="S82" s="5" t="s">
        <v>74</v>
      </c>
      <c r="T82" s="5"/>
    </row>
    <row r="83" customFormat="false" ht="67.5" hidden="false" customHeight="true" outlineLevel="0" collapsed="false">
      <c r="A83" s="6" t="s">
        <v>446</v>
      </c>
      <c r="B83" s="6" t="s">
        <v>110</v>
      </c>
      <c r="C83" s="6" t="s">
        <v>50</v>
      </c>
      <c r="D83" s="6" t="n">
        <v>80</v>
      </c>
      <c r="E83" s="6" t="s">
        <v>447</v>
      </c>
      <c r="F83" s="6" t="s">
        <v>232</v>
      </c>
      <c r="G83" s="9" t="n">
        <v>2</v>
      </c>
      <c r="H83" s="9" t="n">
        <v>1</v>
      </c>
      <c r="I83" s="8" t="n">
        <f aca="false">(G83+H83)/2</f>
        <v>1.5</v>
      </c>
      <c r="J83" s="9" t="n">
        <v>3</v>
      </c>
      <c r="K83" s="6" t="s">
        <v>448</v>
      </c>
      <c r="L83" s="6"/>
      <c r="M83" s="9" t="s">
        <v>227</v>
      </c>
      <c r="N83" s="9"/>
      <c r="O83" s="9"/>
      <c r="P83" s="6" t="s">
        <v>233</v>
      </c>
      <c r="Q83" s="6" t="s">
        <v>53</v>
      </c>
      <c r="R83" s="6" t="s">
        <v>283</v>
      </c>
      <c r="S83" s="6" t="s">
        <v>74</v>
      </c>
      <c r="T83" s="6"/>
    </row>
    <row r="84" customFormat="false" ht="67.5" hidden="false" customHeight="true" outlineLevel="0" collapsed="false">
      <c r="A84" s="5" t="s">
        <v>449</v>
      </c>
      <c r="B84" s="5" t="s">
        <v>110</v>
      </c>
      <c r="C84" s="5" t="s">
        <v>50</v>
      </c>
      <c r="D84" s="5" t="n">
        <v>81</v>
      </c>
      <c r="E84" s="5" t="s">
        <v>450</v>
      </c>
      <c r="F84" s="5" t="s">
        <v>232</v>
      </c>
      <c r="G84" s="9" t="n">
        <v>2</v>
      </c>
      <c r="H84" s="9" t="n">
        <v>1</v>
      </c>
      <c r="I84" s="8" t="n">
        <f aca="false">(G84+H84)/2</f>
        <v>1.5</v>
      </c>
      <c r="J84" s="9" t="n">
        <v>3</v>
      </c>
      <c r="K84" s="5" t="s">
        <v>446</v>
      </c>
      <c r="L84" s="5"/>
      <c r="M84" s="9" t="s">
        <v>227</v>
      </c>
      <c r="N84" s="9"/>
      <c r="O84" s="9"/>
      <c r="P84" s="5" t="s">
        <v>233</v>
      </c>
      <c r="Q84" s="5" t="s">
        <v>53</v>
      </c>
      <c r="R84" s="5" t="s">
        <v>283</v>
      </c>
      <c r="S84" s="5" t="s">
        <v>55</v>
      </c>
      <c r="T84" s="5" t="s">
        <v>451</v>
      </c>
    </row>
    <row r="85" customFormat="false" ht="67.5" hidden="false" customHeight="true" outlineLevel="0" collapsed="false">
      <c r="A85" s="6" t="s">
        <v>452</v>
      </c>
      <c r="B85" s="6" t="s">
        <v>110</v>
      </c>
      <c r="C85" s="6" t="s">
        <v>50</v>
      </c>
      <c r="D85" s="6" t="n">
        <v>82</v>
      </c>
      <c r="E85" s="6" t="s">
        <v>453</v>
      </c>
      <c r="F85" s="6" t="s">
        <v>232</v>
      </c>
      <c r="G85" s="9" t="n">
        <v>2</v>
      </c>
      <c r="H85" s="9" t="n">
        <v>1</v>
      </c>
      <c r="I85" s="8" t="n">
        <f aca="false">(G85+H85)/2</f>
        <v>1.5</v>
      </c>
      <c r="J85" s="9" t="n">
        <v>3</v>
      </c>
      <c r="K85" s="6" t="s">
        <v>449</v>
      </c>
      <c r="L85" s="6"/>
      <c r="M85" s="9" t="s">
        <v>227</v>
      </c>
      <c r="N85" s="9"/>
      <c r="O85" s="9"/>
      <c r="P85" s="6" t="s">
        <v>233</v>
      </c>
      <c r="Q85" s="6" t="s">
        <v>53</v>
      </c>
      <c r="R85" s="6" t="s">
        <v>244</v>
      </c>
      <c r="S85" s="6" t="s">
        <v>74</v>
      </c>
      <c r="T85" s="6"/>
    </row>
    <row r="86" customFormat="false" ht="67.5" hidden="false" customHeight="true" outlineLevel="0" collapsed="false">
      <c r="A86" s="5" t="s">
        <v>454</v>
      </c>
      <c r="B86" s="5" t="s">
        <v>115</v>
      </c>
      <c r="C86" s="5" t="s">
        <v>50</v>
      </c>
      <c r="D86" s="5" t="n">
        <v>83</v>
      </c>
      <c r="E86" s="5" t="s">
        <v>455</v>
      </c>
      <c r="F86" s="5" t="s">
        <v>232</v>
      </c>
      <c r="G86" s="9" t="n">
        <v>2</v>
      </c>
      <c r="H86" s="9" t="n">
        <v>1</v>
      </c>
      <c r="I86" s="8" t="n">
        <f aca="false">(G86+H86)/2</f>
        <v>1.5</v>
      </c>
      <c r="J86" s="9" t="n">
        <v>3</v>
      </c>
      <c r="K86" s="5" t="s">
        <v>456</v>
      </c>
      <c r="L86" s="5"/>
      <c r="M86" s="9" t="s">
        <v>227</v>
      </c>
      <c r="N86" s="9"/>
      <c r="O86" s="9"/>
      <c r="P86" s="5" t="s">
        <v>233</v>
      </c>
      <c r="Q86" s="5" t="s">
        <v>118</v>
      </c>
      <c r="R86" s="5" t="s">
        <v>457</v>
      </c>
      <c r="S86" s="5" t="s">
        <v>55</v>
      </c>
      <c r="T86" s="5" t="s">
        <v>458</v>
      </c>
    </row>
    <row r="87" customFormat="false" ht="67.5" hidden="false" customHeight="true" outlineLevel="0" collapsed="false">
      <c r="A87" s="6" t="s">
        <v>459</v>
      </c>
      <c r="B87" s="6" t="s">
        <v>115</v>
      </c>
      <c r="C87" s="6" t="s">
        <v>50</v>
      </c>
      <c r="D87" s="6" t="n">
        <v>84</v>
      </c>
      <c r="E87" s="6" t="s">
        <v>460</v>
      </c>
      <c r="F87" s="6" t="s">
        <v>232</v>
      </c>
      <c r="G87" s="9" t="n">
        <v>2</v>
      </c>
      <c r="H87" s="9" t="n">
        <v>1</v>
      </c>
      <c r="I87" s="8" t="n">
        <f aca="false">(G87+H87)/2</f>
        <v>1.5</v>
      </c>
      <c r="J87" s="9" t="n">
        <v>3</v>
      </c>
      <c r="K87" s="6" t="s">
        <v>454</v>
      </c>
      <c r="L87" s="6"/>
      <c r="M87" s="9" t="s">
        <v>227</v>
      </c>
      <c r="N87" s="9"/>
      <c r="O87" s="9"/>
      <c r="P87" s="6" t="s">
        <v>233</v>
      </c>
      <c r="Q87" s="6" t="s">
        <v>118</v>
      </c>
      <c r="R87" s="6" t="s">
        <v>244</v>
      </c>
      <c r="S87" s="6" t="s">
        <v>74</v>
      </c>
      <c r="T87" s="6"/>
    </row>
    <row r="88" customFormat="false" ht="67.5" hidden="false" customHeight="true" outlineLevel="0" collapsed="false">
      <c r="A88" s="5" t="s">
        <v>461</v>
      </c>
      <c r="B88" s="5" t="s">
        <v>115</v>
      </c>
      <c r="C88" s="5" t="s">
        <v>50</v>
      </c>
      <c r="D88" s="5" t="n">
        <v>85</v>
      </c>
      <c r="E88" s="5" t="s">
        <v>462</v>
      </c>
      <c r="F88" s="5" t="s">
        <v>232</v>
      </c>
      <c r="G88" s="9" t="n">
        <v>2</v>
      </c>
      <c r="H88" s="9" t="n">
        <v>1</v>
      </c>
      <c r="I88" s="8" t="n">
        <f aca="false">(G88+H88)/2</f>
        <v>1.5</v>
      </c>
      <c r="J88" s="9" t="n">
        <v>3</v>
      </c>
      <c r="K88" s="5" t="s">
        <v>459</v>
      </c>
      <c r="L88" s="5"/>
      <c r="M88" s="9" t="s">
        <v>227</v>
      </c>
      <c r="N88" s="9"/>
      <c r="O88" s="9"/>
      <c r="P88" s="5" t="s">
        <v>233</v>
      </c>
      <c r="Q88" s="5" t="s">
        <v>118</v>
      </c>
      <c r="R88" s="5" t="s">
        <v>244</v>
      </c>
      <c r="S88" s="5" t="s">
        <v>74</v>
      </c>
      <c r="T88" s="5"/>
    </row>
    <row r="89" customFormat="false" ht="67.5" hidden="false" customHeight="true" outlineLevel="0" collapsed="false">
      <c r="A89" s="6" t="s">
        <v>463</v>
      </c>
      <c r="B89" s="6" t="s">
        <v>115</v>
      </c>
      <c r="C89" s="6" t="s">
        <v>50</v>
      </c>
      <c r="D89" s="6" t="n">
        <v>86</v>
      </c>
      <c r="E89" s="6" t="s">
        <v>464</v>
      </c>
      <c r="F89" s="6" t="s">
        <v>302</v>
      </c>
      <c r="G89" s="9" t="n">
        <v>2</v>
      </c>
      <c r="H89" s="9" t="n">
        <v>1</v>
      </c>
      <c r="I89" s="8" t="n">
        <f aca="false">(G89+H89)/2</f>
        <v>1.5</v>
      </c>
      <c r="J89" s="9" t="n">
        <v>3</v>
      </c>
      <c r="K89" s="6" t="s">
        <v>461</v>
      </c>
      <c r="L89" s="6"/>
      <c r="M89" s="9" t="s">
        <v>227</v>
      </c>
      <c r="N89" s="9"/>
      <c r="O89" s="9"/>
      <c r="P89" s="6" t="s">
        <v>228</v>
      </c>
      <c r="Q89" s="6" t="s">
        <v>118</v>
      </c>
      <c r="R89" s="6" t="s">
        <v>457</v>
      </c>
      <c r="S89" s="6" t="s">
        <v>74</v>
      </c>
      <c r="T89" s="6"/>
    </row>
    <row r="90" customFormat="false" ht="67.5" hidden="false" customHeight="true" outlineLevel="0" collapsed="false">
      <c r="A90" s="5" t="s">
        <v>465</v>
      </c>
      <c r="B90" s="5" t="s">
        <v>148</v>
      </c>
      <c r="C90" s="5" t="s">
        <v>50</v>
      </c>
      <c r="D90" s="5" t="n">
        <v>87</v>
      </c>
      <c r="E90" s="5" t="s">
        <v>466</v>
      </c>
      <c r="F90" s="5" t="s">
        <v>225</v>
      </c>
      <c r="G90" s="9" t="n">
        <v>1</v>
      </c>
      <c r="H90" s="9" t="n">
        <v>3</v>
      </c>
      <c r="I90" s="8" t="n">
        <f aca="false">(G90+H90)/2</f>
        <v>2</v>
      </c>
      <c r="J90" s="9" t="n">
        <v>2</v>
      </c>
      <c r="K90" s="5" t="s">
        <v>467</v>
      </c>
      <c r="L90" s="5"/>
      <c r="M90" s="9" t="s">
        <v>227</v>
      </c>
      <c r="N90" s="9"/>
      <c r="O90" s="9"/>
      <c r="P90" s="5" t="s">
        <v>228</v>
      </c>
      <c r="Q90" s="5" t="s">
        <v>118</v>
      </c>
      <c r="R90" s="5" t="s">
        <v>283</v>
      </c>
      <c r="S90" s="5" t="s">
        <v>74</v>
      </c>
      <c r="T90" s="5"/>
    </row>
    <row r="91" customFormat="false" ht="67.5" hidden="false" customHeight="true" outlineLevel="0" collapsed="false">
      <c r="A91" s="6" t="s">
        <v>468</v>
      </c>
      <c r="B91" s="6" t="s">
        <v>148</v>
      </c>
      <c r="C91" s="6" t="s">
        <v>50</v>
      </c>
      <c r="D91" s="6" t="n">
        <v>88</v>
      </c>
      <c r="E91" s="6" t="s">
        <v>469</v>
      </c>
      <c r="F91" s="6" t="s">
        <v>232</v>
      </c>
      <c r="G91" s="9" t="n">
        <v>2</v>
      </c>
      <c r="H91" s="9" t="n">
        <v>1</v>
      </c>
      <c r="I91" s="8" t="n">
        <f aca="false">(G91+H91)/2</f>
        <v>1.5</v>
      </c>
      <c r="J91" s="9" t="n">
        <v>3</v>
      </c>
      <c r="K91" s="6" t="s">
        <v>465</v>
      </c>
      <c r="L91" s="6"/>
      <c r="M91" s="9" t="s">
        <v>227</v>
      </c>
      <c r="N91" s="9"/>
      <c r="O91" s="9"/>
      <c r="P91" s="6" t="s">
        <v>233</v>
      </c>
      <c r="Q91" s="6" t="s">
        <v>118</v>
      </c>
      <c r="R91" s="6" t="s">
        <v>283</v>
      </c>
      <c r="S91" s="6" t="s">
        <v>74</v>
      </c>
      <c r="T91" s="6"/>
    </row>
    <row r="92" customFormat="false" ht="67.5" hidden="false" customHeight="true" outlineLevel="0" collapsed="false">
      <c r="A92" s="5" t="s">
        <v>470</v>
      </c>
      <c r="B92" s="5" t="s">
        <v>148</v>
      </c>
      <c r="C92" s="5" t="s">
        <v>50</v>
      </c>
      <c r="D92" s="5" t="n">
        <v>89</v>
      </c>
      <c r="E92" s="5" t="s">
        <v>471</v>
      </c>
      <c r="F92" s="5" t="s">
        <v>232</v>
      </c>
      <c r="G92" s="9" t="n">
        <v>2</v>
      </c>
      <c r="H92" s="9" t="n">
        <v>1</v>
      </c>
      <c r="I92" s="8" t="n">
        <f aca="false">(G92+H92)/2</f>
        <v>1.5</v>
      </c>
      <c r="J92" s="9" t="n">
        <v>3</v>
      </c>
      <c r="K92" s="5" t="s">
        <v>468</v>
      </c>
      <c r="L92" s="5"/>
      <c r="M92" s="9" t="s">
        <v>227</v>
      </c>
      <c r="N92" s="9"/>
      <c r="O92" s="9"/>
      <c r="P92" s="5" t="s">
        <v>233</v>
      </c>
      <c r="Q92" s="5" t="s">
        <v>118</v>
      </c>
      <c r="R92" s="5" t="s">
        <v>283</v>
      </c>
      <c r="S92" s="5" t="s">
        <v>74</v>
      </c>
      <c r="T92" s="5"/>
    </row>
    <row r="93" customFormat="false" ht="67.5" hidden="false" customHeight="true" outlineLevel="0" collapsed="false">
      <c r="A93" s="6" t="s">
        <v>472</v>
      </c>
      <c r="B93" s="6" t="s">
        <v>80</v>
      </c>
      <c r="C93" s="6" t="s">
        <v>58</v>
      </c>
      <c r="D93" s="6" t="n">
        <v>90</v>
      </c>
      <c r="E93" s="6" t="s">
        <v>473</v>
      </c>
      <c r="F93" s="6" t="s">
        <v>225</v>
      </c>
      <c r="G93" s="9" t="n">
        <v>1</v>
      </c>
      <c r="H93" s="9" t="n">
        <v>3</v>
      </c>
      <c r="I93" s="8" t="n">
        <f aca="false">(G93+H93)/2</f>
        <v>2</v>
      </c>
      <c r="J93" s="9" t="n">
        <v>2</v>
      </c>
      <c r="K93" s="6" t="s">
        <v>474</v>
      </c>
      <c r="L93" s="6" t="s">
        <v>272</v>
      </c>
      <c r="M93" s="9" t="s">
        <v>227</v>
      </c>
      <c r="N93" s="9"/>
      <c r="O93" s="9"/>
      <c r="P93" s="6" t="s">
        <v>228</v>
      </c>
      <c r="Q93" s="6" t="s">
        <v>53</v>
      </c>
      <c r="R93" s="6" t="s">
        <v>475</v>
      </c>
      <c r="S93" s="6" t="s">
        <v>74</v>
      </c>
      <c r="T93" s="6"/>
    </row>
    <row r="94" customFormat="false" ht="67.5" hidden="false" customHeight="true" outlineLevel="0" collapsed="false">
      <c r="A94" s="5" t="s">
        <v>476</v>
      </c>
      <c r="B94" s="5" t="s">
        <v>80</v>
      </c>
      <c r="C94" s="5" t="s">
        <v>58</v>
      </c>
      <c r="D94" s="5" t="n">
        <v>91</v>
      </c>
      <c r="E94" s="5" t="s">
        <v>477</v>
      </c>
      <c r="F94" s="5" t="s">
        <v>232</v>
      </c>
      <c r="G94" s="9" t="n">
        <v>2</v>
      </c>
      <c r="H94" s="9" t="n">
        <v>1</v>
      </c>
      <c r="I94" s="8" t="n">
        <f aca="false">(G94+H94)/2</f>
        <v>1.5</v>
      </c>
      <c r="J94" s="9" t="n">
        <v>3</v>
      </c>
      <c r="K94" s="5" t="s">
        <v>472</v>
      </c>
      <c r="L94" s="5"/>
      <c r="M94" s="9" t="s">
        <v>227</v>
      </c>
      <c r="N94" s="9"/>
      <c r="O94" s="9"/>
      <c r="P94" s="5" t="s">
        <v>233</v>
      </c>
      <c r="Q94" s="5" t="s">
        <v>53</v>
      </c>
      <c r="R94" s="5" t="s">
        <v>475</v>
      </c>
      <c r="S94" s="5" t="s">
        <v>74</v>
      </c>
      <c r="T94" s="5"/>
    </row>
    <row r="95" customFormat="false" ht="67.5" hidden="false" customHeight="true" outlineLevel="0" collapsed="false">
      <c r="A95" s="6" t="s">
        <v>478</v>
      </c>
      <c r="B95" s="6" t="s">
        <v>80</v>
      </c>
      <c r="C95" s="6" t="s">
        <v>58</v>
      </c>
      <c r="D95" s="6" t="n">
        <v>92</v>
      </c>
      <c r="E95" s="6" t="s">
        <v>479</v>
      </c>
      <c r="F95" s="6" t="s">
        <v>232</v>
      </c>
      <c r="G95" s="9" t="n">
        <v>2</v>
      </c>
      <c r="H95" s="9" t="n">
        <v>1</v>
      </c>
      <c r="I95" s="8" t="n">
        <f aca="false">(G95+H95)/2</f>
        <v>1.5</v>
      </c>
      <c r="J95" s="9" t="n">
        <v>3</v>
      </c>
      <c r="K95" s="6" t="s">
        <v>476</v>
      </c>
      <c r="L95" s="6"/>
      <c r="M95" s="9" t="s">
        <v>227</v>
      </c>
      <c r="N95" s="9"/>
      <c r="O95" s="9"/>
      <c r="P95" s="6" t="s">
        <v>233</v>
      </c>
      <c r="Q95" s="6" t="s">
        <v>53</v>
      </c>
      <c r="R95" s="6" t="s">
        <v>475</v>
      </c>
      <c r="S95" s="6" t="s">
        <v>74</v>
      </c>
      <c r="T95" s="6"/>
    </row>
    <row r="96" customFormat="false" ht="67.5" hidden="false" customHeight="true" outlineLevel="0" collapsed="false">
      <c r="A96" s="5" t="s">
        <v>480</v>
      </c>
      <c r="B96" s="5" t="s">
        <v>80</v>
      </c>
      <c r="C96" s="5" t="s">
        <v>58</v>
      </c>
      <c r="D96" s="5" t="n">
        <v>93</v>
      </c>
      <c r="E96" s="5" t="s">
        <v>481</v>
      </c>
      <c r="F96" s="5" t="s">
        <v>232</v>
      </c>
      <c r="G96" s="9" t="n">
        <v>2</v>
      </c>
      <c r="H96" s="9" t="n">
        <v>1</v>
      </c>
      <c r="I96" s="8" t="n">
        <f aca="false">(G96+H96)/2</f>
        <v>1.5</v>
      </c>
      <c r="J96" s="9" t="n">
        <v>3</v>
      </c>
      <c r="K96" s="5" t="s">
        <v>478</v>
      </c>
      <c r="L96" s="5"/>
      <c r="M96" s="9" t="s">
        <v>227</v>
      </c>
      <c r="N96" s="9"/>
      <c r="O96" s="9"/>
      <c r="P96" s="5" t="s">
        <v>233</v>
      </c>
      <c r="Q96" s="5" t="s">
        <v>53</v>
      </c>
      <c r="R96" s="5" t="s">
        <v>475</v>
      </c>
      <c r="S96" s="5" t="s">
        <v>55</v>
      </c>
      <c r="T96" s="5" t="s">
        <v>482</v>
      </c>
    </row>
    <row r="97" customFormat="false" ht="67.5" hidden="false" customHeight="true" outlineLevel="0" collapsed="false">
      <c r="A97" s="6" t="s">
        <v>483</v>
      </c>
      <c r="B97" s="6" t="s">
        <v>80</v>
      </c>
      <c r="C97" s="6" t="s">
        <v>58</v>
      </c>
      <c r="D97" s="6" t="n">
        <v>94</v>
      </c>
      <c r="E97" s="6" t="s">
        <v>484</v>
      </c>
      <c r="F97" s="6" t="s">
        <v>232</v>
      </c>
      <c r="G97" s="9" t="n">
        <v>2</v>
      </c>
      <c r="H97" s="9" t="n">
        <v>1</v>
      </c>
      <c r="I97" s="8" t="n">
        <f aca="false">(G97+H97)/2</f>
        <v>1.5</v>
      </c>
      <c r="J97" s="9" t="n">
        <v>3</v>
      </c>
      <c r="K97" s="6" t="s">
        <v>480</v>
      </c>
      <c r="L97" s="6" t="s">
        <v>485</v>
      </c>
      <c r="M97" s="9" t="s">
        <v>227</v>
      </c>
      <c r="N97" s="9"/>
      <c r="O97" s="9"/>
      <c r="P97" s="6" t="s">
        <v>233</v>
      </c>
      <c r="Q97" s="6" t="s">
        <v>53</v>
      </c>
      <c r="R97" s="6" t="s">
        <v>244</v>
      </c>
      <c r="S97" s="6" t="s">
        <v>55</v>
      </c>
      <c r="T97" s="6" t="s">
        <v>486</v>
      </c>
    </row>
    <row r="98" customFormat="false" ht="67.5" hidden="false" customHeight="true" outlineLevel="0" collapsed="false">
      <c r="A98" s="5" t="s">
        <v>487</v>
      </c>
      <c r="B98" s="5" t="s">
        <v>57</v>
      </c>
      <c r="C98" s="5" t="s">
        <v>58</v>
      </c>
      <c r="D98" s="5" t="n">
        <v>95</v>
      </c>
      <c r="E98" s="5" t="s">
        <v>488</v>
      </c>
      <c r="F98" s="5" t="s">
        <v>232</v>
      </c>
      <c r="G98" s="9" t="n">
        <v>2</v>
      </c>
      <c r="H98" s="9" t="n">
        <v>1</v>
      </c>
      <c r="I98" s="8" t="n">
        <f aca="false">(G98+H98)/2</f>
        <v>1.5</v>
      </c>
      <c r="J98" s="9" t="n">
        <v>3</v>
      </c>
      <c r="K98" s="5" t="s">
        <v>489</v>
      </c>
      <c r="L98" s="5" t="s">
        <v>272</v>
      </c>
      <c r="M98" s="9" t="s">
        <v>61</v>
      </c>
      <c r="N98" s="9"/>
      <c r="O98" s="9"/>
      <c r="P98" s="5" t="s">
        <v>233</v>
      </c>
      <c r="Q98" s="5" t="s">
        <v>61</v>
      </c>
      <c r="R98" s="5" t="s">
        <v>490</v>
      </c>
      <c r="S98" s="5" t="s">
        <v>61</v>
      </c>
      <c r="T98" s="5" t="s">
        <v>63</v>
      </c>
    </row>
    <row r="99" customFormat="false" ht="67.5" hidden="false" customHeight="true" outlineLevel="0" collapsed="false">
      <c r="A99" s="6" t="s">
        <v>491</v>
      </c>
      <c r="B99" s="6" t="s">
        <v>57</v>
      </c>
      <c r="C99" s="6" t="s">
        <v>58</v>
      </c>
      <c r="D99" s="6" t="n">
        <v>96</v>
      </c>
      <c r="E99" s="6" t="s">
        <v>492</v>
      </c>
      <c r="F99" s="6" t="s">
        <v>232</v>
      </c>
      <c r="G99" s="9" t="n">
        <v>2</v>
      </c>
      <c r="H99" s="9" t="n">
        <v>1</v>
      </c>
      <c r="I99" s="8" t="n">
        <f aca="false">(G99+H99)/2</f>
        <v>1.5</v>
      </c>
      <c r="J99" s="9" t="n">
        <v>3</v>
      </c>
      <c r="K99" s="6" t="s">
        <v>487</v>
      </c>
      <c r="L99" s="6"/>
      <c r="M99" s="9" t="s">
        <v>61</v>
      </c>
      <c r="N99" s="9"/>
      <c r="O99" s="9"/>
      <c r="P99" s="6" t="s">
        <v>233</v>
      </c>
      <c r="Q99" s="6" t="s">
        <v>61</v>
      </c>
      <c r="R99" s="6" t="s">
        <v>490</v>
      </c>
      <c r="S99" s="6" t="s">
        <v>61</v>
      </c>
      <c r="T99" s="6" t="s">
        <v>63</v>
      </c>
    </row>
    <row r="100" customFormat="false" ht="67.5" hidden="false" customHeight="true" outlineLevel="0" collapsed="false">
      <c r="A100" s="5" t="s">
        <v>493</v>
      </c>
      <c r="B100" s="5" t="s">
        <v>57</v>
      </c>
      <c r="C100" s="5" t="s">
        <v>58</v>
      </c>
      <c r="D100" s="5" t="n">
        <v>97</v>
      </c>
      <c r="E100" s="5" t="s">
        <v>494</v>
      </c>
      <c r="F100" s="5" t="s">
        <v>232</v>
      </c>
      <c r="G100" s="9" t="n">
        <v>2</v>
      </c>
      <c r="H100" s="9" t="n">
        <v>1</v>
      </c>
      <c r="I100" s="8" t="n">
        <f aca="false">(G100+H100)/2</f>
        <v>1.5</v>
      </c>
      <c r="J100" s="9" t="n">
        <v>3</v>
      </c>
      <c r="K100" s="5" t="s">
        <v>491</v>
      </c>
      <c r="L100" s="5"/>
      <c r="M100" s="9" t="s">
        <v>61</v>
      </c>
      <c r="N100" s="9"/>
      <c r="O100" s="9"/>
      <c r="P100" s="5" t="s">
        <v>233</v>
      </c>
      <c r="Q100" s="5" t="s">
        <v>61</v>
      </c>
      <c r="R100" s="5" t="s">
        <v>490</v>
      </c>
      <c r="S100" s="5" t="s">
        <v>61</v>
      </c>
      <c r="T100" s="5" t="s">
        <v>63</v>
      </c>
    </row>
    <row r="101" customFormat="false" ht="67.5" hidden="false" customHeight="true" outlineLevel="0" collapsed="false">
      <c r="A101" s="6" t="s">
        <v>495</v>
      </c>
      <c r="B101" s="6" t="s">
        <v>64</v>
      </c>
      <c r="C101" s="6" t="s">
        <v>58</v>
      </c>
      <c r="D101" s="6" t="n">
        <v>98</v>
      </c>
      <c r="E101" s="6" t="s">
        <v>496</v>
      </c>
      <c r="F101" s="6" t="s">
        <v>232</v>
      </c>
      <c r="G101" s="9" t="n">
        <v>2</v>
      </c>
      <c r="H101" s="9" t="n">
        <v>1</v>
      </c>
      <c r="I101" s="8" t="n">
        <f aca="false">(G101+H101)/2</f>
        <v>1.5</v>
      </c>
      <c r="J101" s="9" t="n">
        <v>3</v>
      </c>
      <c r="K101" s="6" t="s">
        <v>497</v>
      </c>
      <c r="L101" s="6" t="s">
        <v>272</v>
      </c>
      <c r="M101" s="9" t="s">
        <v>61</v>
      </c>
      <c r="N101" s="9"/>
      <c r="O101" s="9"/>
      <c r="P101" s="6" t="s">
        <v>233</v>
      </c>
      <c r="Q101" s="6" t="s">
        <v>61</v>
      </c>
      <c r="R101" s="6" t="s">
        <v>490</v>
      </c>
      <c r="S101" s="6" t="s">
        <v>61</v>
      </c>
      <c r="T101" s="6" t="s">
        <v>68</v>
      </c>
    </row>
    <row r="102" customFormat="false" ht="67.5" hidden="false" customHeight="true" outlineLevel="0" collapsed="false">
      <c r="A102" s="5" t="s">
        <v>498</v>
      </c>
      <c r="B102" s="5" t="s">
        <v>64</v>
      </c>
      <c r="C102" s="5" t="s">
        <v>58</v>
      </c>
      <c r="D102" s="5" t="n">
        <v>99</v>
      </c>
      <c r="E102" s="5" t="s">
        <v>499</v>
      </c>
      <c r="F102" s="5" t="s">
        <v>232</v>
      </c>
      <c r="G102" s="9" t="n">
        <v>2</v>
      </c>
      <c r="H102" s="9" t="n">
        <v>1</v>
      </c>
      <c r="I102" s="8" t="n">
        <f aca="false">(G102+H102)/2</f>
        <v>1.5</v>
      </c>
      <c r="J102" s="9" t="n">
        <v>3</v>
      </c>
      <c r="K102" s="5" t="s">
        <v>495</v>
      </c>
      <c r="L102" s="5"/>
      <c r="M102" s="9" t="s">
        <v>61</v>
      </c>
      <c r="N102" s="9"/>
      <c r="O102" s="9"/>
      <c r="P102" s="5" t="s">
        <v>233</v>
      </c>
      <c r="Q102" s="5" t="s">
        <v>61</v>
      </c>
      <c r="R102" s="5" t="s">
        <v>490</v>
      </c>
      <c r="S102" s="5" t="s">
        <v>61</v>
      </c>
      <c r="T102" s="5" t="s">
        <v>68</v>
      </c>
    </row>
    <row r="103" customFormat="false" ht="67.5" hidden="false" customHeight="true" outlineLevel="0" collapsed="false">
      <c r="A103" s="6" t="s">
        <v>500</v>
      </c>
      <c r="B103" s="6" t="s">
        <v>64</v>
      </c>
      <c r="C103" s="6" t="s">
        <v>58</v>
      </c>
      <c r="D103" s="6" t="n">
        <v>100</v>
      </c>
      <c r="E103" s="6" t="s">
        <v>501</v>
      </c>
      <c r="F103" s="6" t="s">
        <v>232</v>
      </c>
      <c r="G103" s="9" t="n">
        <v>2</v>
      </c>
      <c r="H103" s="9" t="n">
        <v>1</v>
      </c>
      <c r="I103" s="8" t="n">
        <f aca="false">(G103+H103)/2</f>
        <v>1.5</v>
      </c>
      <c r="J103" s="9" t="n">
        <v>3</v>
      </c>
      <c r="K103" s="6" t="s">
        <v>498</v>
      </c>
      <c r="L103" s="6"/>
      <c r="M103" s="9" t="s">
        <v>61</v>
      </c>
      <c r="N103" s="9"/>
      <c r="O103" s="9"/>
      <c r="P103" s="6" t="s">
        <v>233</v>
      </c>
      <c r="Q103" s="6" t="s">
        <v>61</v>
      </c>
      <c r="R103" s="6" t="s">
        <v>490</v>
      </c>
      <c r="S103" s="6" t="s">
        <v>61</v>
      </c>
      <c r="T103" s="6" t="s">
        <v>68</v>
      </c>
    </row>
    <row r="104" customFormat="false" ht="67.5" hidden="false" customHeight="true" outlineLevel="0" collapsed="false">
      <c r="A104" s="5" t="s">
        <v>502</v>
      </c>
      <c r="B104" s="5" t="s">
        <v>64</v>
      </c>
      <c r="C104" s="5" t="s">
        <v>58</v>
      </c>
      <c r="D104" s="5" t="n">
        <v>101</v>
      </c>
      <c r="E104" s="5" t="s">
        <v>503</v>
      </c>
      <c r="F104" s="5" t="s">
        <v>302</v>
      </c>
      <c r="G104" s="9" t="n">
        <v>2</v>
      </c>
      <c r="H104" s="9" t="n">
        <v>1</v>
      </c>
      <c r="I104" s="8" t="n">
        <f aca="false">(G104+H104)/2</f>
        <v>1.5</v>
      </c>
      <c r="J104" s="9" t="n">
        <v>3</v>
      </c>
      <c r="K104" s="5" t="s">
        <v>500</v>
      </c>
      <c r="L104" s="5"/>
      <c r="M104" s="9" t="s">
        <v>61</v>
      </c>
      <c r="N104" s="9"/>
      <c r="O104" s="9"/>
      <c r="P104" s="5" t="s">
        <v>228</v>
      </c>
      <c r="Q104" s="5" t="s">
        <v>61</v>
      </c>
      <c r="R104" s="5" t="s">
        <v>490</v>
      </c>
      <c r="S104" s="5" t="s">
        <v>61</v>
      </c>
      <c r="T104" s="5" t="s">
        <v>68</v>
      </c>
    </row>
    <row r="105" customFormat="false" ht="67.5" hidden="false" customHeight="true" outlineLevel="0" collapsed="false">
      <c r="A105" s="6" t="s">
        <v>504</v>
      </c>
      <c r="B105" s="6" t="s">
        <v>89</v>
      </c>
      <c r="C105" s="6" t="s">
        <v>58</v>
      </c>
      <c r="D105" s="6" t="n">
        <v>102</v>
      </c>
      <c r="E105" s="6" t="s">
        <v>505</v>
      </c>
      <c r="F105" s="6" t="s">
        <v>225</v>
      </c>
      <c r="G105" s="9" t="n">
        <v>1</v>
      </c>
      <c r="H105" s="9" t="n">
        <v>3</v>
      </c>
      <c r="I105" s="8" t="n">
        <f aca="false">(G105+H105)/2</f>
        <v>2</v>
      </c>
      <c r="J105" s="9" t="n">
        <v>2</v>
      </c>
      <c r="K105" s="6" t="s">
        <v>506</v>
      </c>
      <c r="L105" s="6" t="s">
        <v>272</v>
      </c>
      <c r="M105" s="9" t="s">
        <v>227</v>
      </c>
      <c r="N105" s="9"/>
      <c r="O105" s="9"/>
      <c r="P105" s="6" t="s">
        <v>228</v>
      </c>
      <c r="Q105" s="6" t="s">
        <v>53</v>
      </c>
      <c r="R105" s="6" t="s">
        <v>273</v>
      </c>
      <c r="S105" s="6" t="s">
        <v>55</v>
      </c>
      <c r="T105" s="6" t="s">
        <v>507</v>
      </c>
    </row>
    <row r="106" customFormat="false" ht="67.5" hidden="false" customHeight="true" outlineLevel="0" collapsed="false">
      <c r="A106" s="5" t="s">
        <v>508</v>
      </c>
      <c r="B106" s="5" t="s">
        <v>89</v>
      </c>
      <c r="C106" s="5" t="s">
        <v>58</v>
      </c>
      <c r="D106" s="5" t="n">
        <v>103</v>
      </c>
      <c r="E106" s="5" t="s">
        <v>509</v>
      </c>
      <c r="F106" s="5" t="s">
        <v>232</v>
      </c>
      <c r="G106" s="9" t="n">
        <v>2</v>
      </c>
      <c r="H106" s="9" t="n">
        <v>1</v>
      </c>
      <c r="I106" s="8" t="n">
        <f aca="false">(G106+H106)/2</f>
        <v>1.5</v>
      </c>
      <c r="J106" s="9" t="n">
        <v>3</v>
      </c>
      <c r="K106" s="5" t="s">
        <v>504</v>
      </c>
      <c r="L106" s="5"/>
      <c r="M106" s="9" t="s">
        <v>227</v>
      </c>
      <c r="N106" s="9"/>
      <c r="O106" s="9"/>
      <c r="P106" s="5" t="s">
        <v>233</v>
      </c>
      <c r="Q106" s="5" t="s">
        <v>53</v>
      </c>
      <c r="R106" s="5" t="s">
        <v>276</v>
      </c>
      <c r="S106" s="5" t="s">
        <v>55</v>
      </c>
      <c r="T106" s="5" t="s">
        <v>510</v>
      </c>
    </row>
    <row r="107" customFormat="false" ht="67.5" hidden="false" customHeight="true" outlineLevel="0" collapsed="false">
      <c r="A107" s="6" t="s">
        <v>511</v>
      </c>
      <c r="B107" s="6" t="s">
        <v>89</v>
      </c>
      <c r="C107" s="6" t="s">
        <v>58</v>
      </c>
      <c r="D107" s="6" t="n">
        <v>104</v>
      </c>
      <c r="E107" s="6" t="s">
        <v>512</v>
      </c>
      <c r="F107" s="6" t="s">
        <v>232</v>
      </c>
      <c r="G107" s="9" t="n">
        <v>2</v>
      </c>
      <c r="H107" s="9" t="n">
        <v>1</v>
      </c>
      <c r="I107" s="8" t="n">
        <f aca="false">(G107+H107)/2</f>
        <v>1.5</v>
      </c>
      <c r="J107" s="9" t="n">
        <v>3</v>
      </c>
      <c r="K107" s="6" t="s">
        <v>508</v>
      </c>
      <c r="L107" s="6"/>
      <c r="M107" s="9" t="s">
        <v>227</v>
      </c>
      <c r="N107" s="9"/>
      <c r="O107" s="9"/>
      <c r="P107" s="6" t="s">
        <v>233</v>
      </c>
      <c r="Q107" s="6" t="s">
        <v>53</v>
      </c>
      <c r="R107" s="6" t="s">
        <v>276</v>
      </c>
      <c r="S107" s="6" t="s">
        <v>55</v>
      </c>
      <c r="T107" s="6" t="s">
        <v>513</v>
      </c>
    </row>
    <row r="108" customFormat="false" ht="67.5" hidden="false" customHeight="true" outlineLevel="0" collapsed="false">
      <c r="A108" s="5" t="s">
        <v>514</v>
      </c>
      <c r="B108" s="5" t="s">
        <v>134</v>
      </c>
      <c r="C108" s="5" t="s">
        <v>58</v>
      </c>
      <c r="D108" s="5" t="n">
        <v>105</v>
      </c>
      <c r="E108" s="5" t="s">
        <v>515</v>
      </c>
      <c r="F108" s="5" t="s">
        <v>232</v>
      </c>
      <c r="G108" s="9" t="n">
        <v>2</v>
      </c>
      <c r="H108" s="9" t="n">
        <v>1</v>
      </c>
      <c r="I108" s="8" t="n">
        <f aca="false">(G108+H108)/2</f>
        <v>1.5</v>
      </c>
      <c r="J108" s="9" t="n">
        <v>3</v>
      </c>
      <c r="K108" s="5" t="s">
        <v>516</v>
      </c>
      <c r="L108" s="5" t="s">
        <v>272</v>
      </c>
      <c r="M108" s="9" t="s">
        <v>61</v>
      </c>
      <c r="N108" s="9"/>
      <c r="O108" s="9"/>
      <c r="P108" s="5" t="s">
        <v>233</v>
      </c>
      <c r="Q108" s="5" t="s">
        <v>61</v>
      </c>
      <c r="R108" s="5" t="s">
        <v>490</v>
      </c>
      <c r="S108" s="5" t="s">
        <v>61</v>
      </c>
      <c r="T108" s="5" t="s">
        <v>138</v>
      </c>
    </row>
    <row r="109" customFormat="false" ht="67.5" hidden="false" customHeight="true" outlineLevel="0" collapsed="false">
      <c r="A109" s="6" t="s">
        <v>517</v>
      </c>
      <c r="B109" s="6" t="s">
        <v>134</v>
      </c>
      <c r="C109" s="6" t="s">
        <v>58</v>
      </c>
      <c r="D109" s="6" t="n">
        <v>106</v>
      </c>
      <c r="E109" s="6" t="s">
        <v>518</v>
      </c>
      <c r="F109" s="6" t="s">
        <v>232</v>
      </c>
      <c r="G109" s="9" t="n">
        <v>2</v>
      </c>
      <c r="H109" s="9" t="n">
        <v>1</v>
      </c>
      <c r="I109" s="8" t="n">
        <f aca="false">(G109+H109)/2</f>
        <v>1.5</v>
      </c>
      <c r="J109" s="9" t="n">
        <v>3</v>
      </c>
      <c r="K109" s="6" t="s">
        <v>514</v>
      </c>
      <c r="L109" s="6"/>
      <c r="M109" s="9" t="s">
        <v>61</v>
      </c>
      <c r="N109" s="9"/>
      <c r="O109" s="9"/>
      <c r="P109" s="6" t="s">
        <v>233</v>
      </c>
      <c r="Q109" s="6" t="s">
        <v>61</v>
      </c>
      <c r="R109" s="6" t="s">
        <v>490</v>
      </c>
      <c r="S109" s="6" t="s">
        <v>61</v>
      </c>
      <c r="T109" s="6" t="s">
        <v>138</v>
      </c>
    </row>
    <row r="110" customFormat="false" ht="67.5" hidden="false" customHeight="true" outlineLevel="0" collapsed="false">
      <c r="A110" s="5" t="s">
        <v>519</v>
      </c>
      <c r="B110" s="5" t="s">
        <v>134</v>
      </c>
      <c r="C110" s="5" t="s">
        <v>58</v>
      </c>
      <c r="D110" s="5" t="n">
        <v>107</v>
      </c>
      <c r="E110" s="5" t="s">
        <v>520</v>
      </c>
      <c r="F110" s="5" t="s">
        <v>232</v>
      </c>
      <c r="G110" s="9" t="n">
        <v>2</v>
      </c>
      <c r="H110" s="9" t="n">
        <v>1</v>
      </c>
      <c r="I110" s="8" t="n">
        <f aca="false">(G110+H110)/2</f>
        <v>1.5</v>
      </c>
      <c r="J110" s="9" t="n">
        <v>3</v>
      </c>
      <c r="K110" s="5" t="s">
        <v>517</v>
      </c>
      <c r="L110" s="5"/>
      <c r="M110" s="9" t="s">
        <v>61</v>
      </c>
      <c r="N110" s="9"/>
      <c r="O110" s="9"/>
      <c r="P110" s="5" t="s">
        <v>233</v>
      </c>
      <c r="Q110" s="5" t="s">
        <v>61</v>
      </c>
      <c r="R110" s="5" t="s">
        <v>490</v>
      </c>
      <c r="S110" s="5" t="s">
        <v>61</v>
      </c>
      <c r="T110" s="5" t="s">
        <v>138</v>
      </c>
    </row>
    <row r="111" customFormat="false" ht="67.5" hidden="false" customHeight="true" outlineLevel="0" collapsed="false">
      <c r="A111" s="6" t="s">
        <v>521</v>
      </c>
      <c r="B111" s="6" t="s">
        <v>144</v>
      </c>
      <c r="C111" s="6" t="s">
        <v>58</v>
      </c>
      <c r="D111" s="6" t="n">
        <v>108</v>
      </c>
      <c r="E111" s="6" t="s">
        <v>522</v>
      </c>
      <c r="F111" s="6" t="s">
        <v>225</v>
      </c>
      <c r="G111" s="9" t="n">
        <v>1</v>
      </c>
      <c r="H111" s="9" t="n">
        <v>3</v>
      </c>
      <c r="I111" s="8" t="n">
        <f aca="false">(G111+H111)/2</f>
        <v>2</v>
      </c>
      <c r="J111" s="9" t="n">
        <v>2</v>
      </c>
      <c r="K111" s="6" t="s">
        <v>523</v>
      </c>
      <c r="L111" s="6" t="s">
        <v>335</v>
      </c>
      <c r="M111" s="9" t="s">
        <v>227</v>
      </c>
      <c r="N111" s="9"/>
      <c r="O111" s="9"/>
      <c r="P111" s="6" t="s">
        <v>228</v>
      </c>
      <c r="Q111" s="6" t="s">
        <v>128</v>
      </c>
      <c r="R111" s="6" t="s">
        <v>358</v>
      </c>
      <c r="S111" s="6" t="s">
        <v>74</v>
      </c>
      <c r="T111" s="6"/>
    </row>
    <row r="112" customFormat="false" ht="67.5" hidden="false" customHeight="true" outlineLevel="0" collapsed="false">
      <c r="A112" s="5" t="s">
        <v>524</v>
      </c>
      <c r="B112" s="5" t="s">
        <v>144</v>
      </c>
      <c r="C112" s="5" t="s">
        <v>58</v>
      </c>
      <c r="D112" s="5" t="n">
        <v>109</v>
      </c>
      <c r="E112" s="5" t="s">
        <v>525</v>
      </c>
      <c r="F112" s="5" t="s">
        <v>232</v>
      </c>
      <c r="G112" s="9" t="n">
        <v>2</v>
      </c>
      <c r="H112" s="9" t="n">
        <v>1</v>
      </c>
      <c r="I112" s="8" t="n">
        <f aca="false">(G112+H112)/2</f>
        <v>1.5</v>
      </c>
      <c r="J112" s="9" t="n">
        <v>3</v>
      </c>
      <c r="K112" s="5" t="s">
        <v>521</v>
      </c>
      <c r="L112" s="5"/>
      <c r="M112" s="9" t="s">
        <v>227</v>
      </c>
      <c r="N112" s="9"/>
      <c r="O112" s="9"/>
      <c r="P112" s="5" t="s">
        <v>233</v>
      </c>
      <c r="Q112" s="5" t="s">
        <v>128</v>
      </c>
      <c r="R112" s="5" t="s">
        <v>358</v>
      </c>
      <c r="S112" s="5" t="s">
        <v>74</v>
      </c>
      <c r="T112" s="5"/>
    </row>
    <row r="113" customFormat="false" ht="67.5" hidden="false" customHeight="true" outlineLevel="0" collapsed="false">
      <c r="A113" s="6" t="s">
        <v>526</v>
      </c>
      <c r="B113" s="6" t="s">
        <v>144</v>
      </c>
      <c r="C113" s="6" t="s">
        <v>58</v>
      </c>
      <c r="D113" s="6" t="n">
        <v>110</v>
      </c>
      <c r="E113" s="6" t="s">
        <v>527</v>
      </c>
      <c r="F113" s="6" t="s">
        <v>232</v>
      </c>
      <c r="G113" s="9" t="n">
        <v>2</v>
      </c>
      <c r="H113" s="9" t="n">
        <v>1</v>
      </c>
      <c r="I113" s="8" t="n">
        <f aca="false">(G113+H113)/2</f>
        <v>1.5</v>
      </c>
      <c r="J113" s="9" t="n">
        <v>3</v>
      </c>
      <c r="K113" s="6" t="s">
        <v>524</v>
      </c>
      <c r="L113" s="6"/>
      <c r="M113" s="9" t="s">
        <v>227</v>
      </c>
      <c r="N113" s="9"/>
      <c r="O113" s="9"/>
      <c r="P113" s="6" t="s">
        <v>233</v>
      </c>
      <c r="Q113" s="6" t="s">
        <v>128</v>
      </c>
      <c r="R113" s="6" t="s">
        <v>244</v>
      </c>
      <c r="S113" s="6" t="s">
        <v>74</v>
      </c>
      <c r="T113" s="6"/>
    </row>
    <row r="114" customFormat="false" ht="67.5" hidden="false" customHeight="true" outlineLevel="0" collapsed="false">
      <c r="A114" s="5" t="s">
        <v>528</v>
      </c>
      <c r="B114" s="5" t="s">
        <v>144</v>
      </c>
      <c r="C114" s="5" t="s">
        <v>58</v>
      </c>
      <c r="D114" s="5" t="n">
        <v>111</v>
      </c>
      <c r="E114" s="5" t="s">
        <v>529</v>
      </c>
      <c r="F114" s="5" t="s">
        <v>232</v>
      </c>
      <c r="G114" s="9" t="n">
        <v>2</v>
      </c>
      <c r="H114" s="9" t="n">
        <v>1</v>
      </c>
      <c r="I114" s="8" t="n">
        <f aca="false">(G114+H114)/2</f>
        <v>1.5</v>
      </c>
      <c r="J114" s="9" t="n">
        <v>3</v>
      </c>
      <c r="K114" s="5" t="s">
        <v>526</v>
      </c>
      <c r="L114" s="5"/>
      <c r="M114" s="9" t="s">
        <v>227</v>
      </c>
      <c r="N114" s="9"/>
      <c r="O114" s="9"/>
      <c r="P114" s="5" t="s">
        <v>233</v>
      </c>
      <c r="Q114" s="5" t="s">
        <v>128</v>
      </c>
      <c r="R114" s="5" t="s">
        <v>244</v>
      </c>
      <c r="S114" s="5" t="s">
        <v>74</v>
      </c>
      <c r="T114" s="5"/>
    </row>
    <row r="115" customFormat="false" ht="67.5" hidden="false" customHeight="true" outlineLevel="0" collapsed="false">
      <c r="A115" s="6" t="s">
        <v>530</v>
      </c>
      <c r="B115" s="6" t="s">
        <v>125</v>
      </c>
      <c r="C115" s="6" t="s">
        <v>58</v>
      </c>
      <c r="D115" s="6" t="n">
        <v>112</v>
      </c>
      <c r="E115" s="6" t="s">
        <v>531</v>
      </c>
      <c r="F115" s="6" t="s">
        <v>225</v>
      </c>
      <c r="G115" s="9" t="n">
        <v>1</v>
      </c>
      <c r="H115" s="9" t="n">
        <v>3</v>
      </c>
      <c r="I115" s="8" t="n">
        <f aca="false">(G115+H115)/2</f>
        <v>2</v>
      </c>
      <c r="J115" s="9" t="n">
        <v>2</v>
      </c>
      <c r="K115" s="6" t="s">
        <v>532</v>
      </c>
      <c r="L115" s="6" t="s">
        <v>335</v>
      </c>
      <c r="M115" s="9" t="s">
        <v>227</v>
      </c>
      <c r="N115" s="9"/>
      <c r="O115" s="9"/>
      <c r="P115" s="6" t="s">
        <v>228</v>
      </c>
      <c r="Q115" s="6" t="s">
        <v>128</v>
      </c>
      <c r="R115" s="6" t="s">
        <v>533</v>
      </c>
      <c r="S115" s="6" t="s">
        <v>74</v>
      </c>
      <c r="T115" s="6"/>
    </row>
    <row r="116" customFormat="false" ht="67.5" hidden="false" customHeight="true" outlineLevel="0" collapsed="false">
      <c r="A116" s="5" t="s">
        <v>534</v>
      </c>
      <c r="B116" s="5" t="s">
        <v>125</v>
      </c>
      <c r="C116" s="5" t="s">
        <v>58</v>
      </c>
      <c r="D116" s="5" t="n">
        <v>113</v>
      </c>
      <c r="E116" s="5" t="s">
        <v>535</v>
      </c>
      <c r="F116" s="5" t="s">
        <v>232</v>
      </c>
      <c r="G116" s="9" t="n">
        <v>2</v>
      </c>
      <c r="H116" s="9" t="n">
        <v>1</v>
      </c>
      <c r="I116" s="8" t="n">
        <f aca="false">(G116+H116)/2</f>
        <v>1.5</v>
      </c>
      <c r="J116" s="9" t="n">
        <v>3</v>
      </c>
      <c r="K116" s="5" t="s">
        <v>530</v>
      </c>
      <c r="L116" s="5"/>
      <c r="M116" s="9" t="s">
        <v>227</v>
      </c>
      <c r="N116" s="9"/>
      <c r="O116" s="9"/>
      <c r="P116" s="5" t="s">
        <v>233</v>
      </c>
      <c r="Q116" s="5" t="s">
        <v>128</v>
      </c>
      <c r="R116" s="5" t="s">
        <v>533</v>
      </c>
      <c r="S116" s="5" t="s">
        <v>74</v>
      </c>
      <c r="T116" s="5"/>
    </row>
    <row r="117" customFormat="false" ht="67.5" hidden="false" customHeight="true" outlineLevel="0" collapsed="false">
      <c r="A117" s="6" t="s">
        <v>536</v>
      </c>
      <c r="B117" s="6" t="s">
        <v>125</v>
      </c>
      <c r="C117" s="6" t="s">
        <v>58</v>
      </c>
      <c r="D117" s="6" t="n">
        <v>114</v>
      </c>
      <c r="E117" s="6" t="s">
        <v>537</v>
      </c>
      <c r="F117" s="6" t="s">
        <v>232</v>
      </c>
      <c r="G117" s="9" t="n">
        <v>2</v>
      </c>
      <c r="H117" s="9" t="n">
        <v>1</v>
      </c>
      <c r="I117" s="8" t="n">
        <f aca="false">(G117+H117)/2</f>
        <v>1.5</v>
      </c>
      <c r="J117" s="9" t="n">
        <v>3</v>
      </c>
      <c r="K117" s="6" t="s">
        <v>534</v>
      </c>
      <c r="L117" s="6"/>
      <c r="M117" s="9" t="s">
        <v>227</v>
      </c>
      <c r="N117" s="9"/>
      <c r="O117" s="9"/>
      <c r="P117" s="6" t="s">
        <v>233</v>
      </c>
      <c r="Q117" s="6" t="s">
        <v>128</v>
      </c>
      <c r="R117" s="6" t="s">
        <v>244</v>
      </c>
      <c r="S117" s="6" t="s">
        <v>74</v>
      </c>
      <c r="T117" s="6"/>
    </row>
    <row r="118" customFormat="false" ht="67.5" hidden="false" customHeight="true" outlineLevel="0" collapsed="false">
      <c r="A118" s="5" t="s">
        <v>538</v>
      </c>
      <c r="B118" s="5" t="s">
        <v>186</v>
      </c>
      <c r="C118" s="5" t="s">
        <v>58</v>
      </c>
      <c r="D118" s="5" t="n">
        <v>115</v>
      </c>
      <c r="E118" s="5" t="s">
        <v>539</v>
      </c>
      <c r="F118" s="5" t="s">
        <v>225</v>
      </c>
      <c r="G118" s="9" t="n">
        <v>1</v>
      </c>
      <c r="H118" s="9" t="n">
        <v>3</v>
      </c>
      <c r="I118" s="8" t="n">
        <f aca="false">(G118+H118)/2</f>
        <v>2</v>
      </c>
      <c r="J118" s="9" t="n">
        <v>2</v>
      </c>
      <c r="K118" s="5" t="s">
        <v>540</v>
      </c>
      <c r="L118" s="5" t="s">
        <v>424</v>
      </c>
      <c r="M118" s="9" t="s">
        <v>227</v>
      </c>
      <c r="N118" s="9"/>
      <c r="O118" s="9"/>
      <c r="P118" s="5" t="s">
        <v>228</v>
      </c>
      <c r="Q118" s="5" t="s">
        <v>128</v>
      </c>
      <c r="R118" s="5" t="s">
        <v>273</v>
      </c>
      <c r="S118" s="5" t="s">
        <v>55</v>
      </c>
      <c r="T118" s="5" t="s">
        <v>541</v>
      </c>
    </row>
    <row r="119" customFormat="false" ht="67.5" hidden="false" customHeight="true" outlineLevel="0" collapsed="false">
      <c r="A119" s="6" t="s">
        <v>542</v>
      </c>
      <c r="B119" s="6" t="s">
        <v>186</v>
      </c>
      <c r="C119" s="6" t="s">
        <v>58</v>
      </c>
      <c r="D119" s="6" t="n">
        <v>116</v>
      </c>
      <c r="E119" s="6" t="s">
        <v>543</v>
      </c>
      <c r="F119" s="6" t="s">
        <v>232</v>
      </c>
      <c r="G119" s="9" t="n">
        <v>2</v>
      </c>
      <c r="H119" s="9" t="n">
        <v>1</v>
      </c>
      <c r="I119" s="8" t="n">
        <f aca="false">(G119+H119)/2</f>
        <v>1.5</v>
      </c>
      <c r="J119" s="9" t="n">
        <v>3</v>
      </c>
      <c r="K119" s="6" t="s">
        <v>538</v>
      </c>
      <c r="L119" s="6"/>
      <c r="M119" s="9" t="s">
        <v>227</v>
      </c>
      <c r="N119" s="9"/>
      <c r="O119" s="9"/>
      <c r="P119" s="6" t="s">
        <v>233</v>
      </c>
      <c r="Q119" s="6" t="s">
        <v>128</v>
      </c>
      <c r="R119" s="6" t="s">
        <v>276</v>
      </c>
      <c r="S119" s="6" t="s">
        <v>74</v>
      </c>
      <c r="T119" s="6"/>
    </row>
    <row r="120" customFormat="false" ht="67.5" hidden="false" customHeight="true" outlineLevel="0" collapsed="false">
      <c r="A120" s="5" t="s">
        <v>544</v>
      </c>
      <c r="B120" s="5" t="s">
        <v>186</v>
      </c>
      <c r="C120" s="5" t="s">
        <v>58</v>
      </c>
      <c r="D120" s="5" t="n">
        <v>117</v>
      </c>
      <c r="E120" s="5" t="s">
        <v>545</v>
      </c>
      <c r="F120" s="5" t="s">
        <v>232</v>
      </c>
      <c r="G120" s="9" t="n">
        <v>2</v>
      </c>
      <c r="H120" s="9" t="n">
        <v>1</v>
      </c>
      <c r="I120" s="8" t="n">
        <f aca="false">(G120+H120)/2</f>
        <v>1.5</v>
      </c>
      <c r="J120" s="9" t="n">
        <v>3</v>
      </c>
      <c r="K120" s="5" t="s">
        <v>542</v>
      </c>
      <c r="L120" s="5"/>
      <c r="M120" s="9" t="s">
        <v>227</v>
      </c>
      <c r="N120" s="9"/>
      <c r="O120" s="9"/>
      <c r="P120" s="5" t="s">
        <v>233</v>
      </c>
      <c r="Q120" s="5" t="s">
        <v>128</v>
      </c>
      <c r="R120" s="5" t="s">
        <v>244</v>
      </c>
      <c r="S120" s="5" t="s">
        <v>55</v>
      </c>
      <c r="T120" s="5" t="s">
        <v>546</v>
      </c>
    </row>
    <row r="121" customFormat="false" ht="67.5" hidden="false" customHeight="true" outlineLevel="0" collapsed="false">
      <c r="A121" s="6" t="s">
        <v>547</v>
      </c>
      <c r="B121" s="6" t="s">
        <v>191</v>
      </c>
      <c r="C121" s="6" t="s">
        <v>58</v>
      </c>
      <c r="D121" s="6" t="n">
        <v>118</v>
      </c>
      <c r="E121" s="6" t="s">
        <v>548</v>
      </c>
      <c r="F121" s="6" t="s">
        <v>225</v>
      </c>
      <c r="G121" s="9" t="n">
        <v>1</v>
      </c>
      <c r="H121" s="9" t="n">
        <v>3</v>
      </c>
      <c r="I121" s="8" t="n">
        <f aca="false">(G121+H121)/2</f>
        <v>2</v>
      </c>
      <c r="J121" s="9" t="n">
        <v>2</v>
      </c>
      <c r="K121" s="6" t="s">
        <v>549</v>
      </c>
      <c r="L121" s="6" t="s">
        <v>272</v>
      </c>
      <c r="M121" s="9" t="s">
        <v>61</v>
      </c>
      <c r="N121" s="9"/>
      <c r="O121" s="9"/>
      <c r="P121" s="6" t="s">
        <v>228</v>
      </c>
      <c r="Q121" s="6" t="s">
        <v>61</v>
      </c>
      <c r="R121" s="6" t="s">
        <v>490</v>
      </c>
      <c r="S121" s="6" t="s">
        <v>61</v>
      </c>
      <c r="T121" s="6" t="s">
        <v>195</v>
      </c>
    </row>
    <row r="122" customFormat="false" ht="67.5" hidden="false" customHeight="true" outlineLevel="0" collapsed="false">
      <c r="A122" s="5" t="s">
        <v>550</v>
      </c>
      <c r="B122" s="5" t="s">
        <v>191</v>
      </c>
      <c r="C122" s="5" t="s">
        <v>58</v>
      </c>
      <c r="D122" s="5" t="n">
        <v>119</v>
      </c>
      <c r="E122" s="5" t="s">
        <v>551</v>
      </c>
      <c r="F122" s="5" t="s">
        <v>232</v>
      </c>
      <c r="G122" s="9" t="n">
        <v>2</v>
      </c>
      <c r="H122" s="9" t="n">
        <v>1</v>
      </c>
      <c r="I122" s="8" t="n">
        <f aca="false">(G122+H122)/2</f>
        <v>1.5</v>
      </c>
      <c r="J122" s="9" t="n">
        <v>3</v>
      </c>
      <c r="K122" s="5" t="s">
        <v>547</v>
      </c>
      <c r="L122" s="5"/>
      <c r="M122" s="9" t="s">
        <v>61</v>
      </c>
      <c r="N122" s="9"/>
      <c r="O122" s="9"/>
      <c r="P122" s="5" t="s">
        <v>233</v>
      </c>
      <c r="Q122" s="5" t="s">
        <v>61</v>
      </c>
      <c r="R122" s="5" t="s">
        <v>490</v>
      </c>
      <c r="S122" s="5" t="s">
        <v>61</v>
      </c>
      <c r="T122" s="5" t="s">
        <v>195</v>
      </c>
    </row>
    <row r="123" customFormat="false" ht="67.5" hidden="false" customHeight="true" outlineLevel="0" collapsed="false">
      <c r="A123" s="6" t="s">
        <v>552</v>
      </c>
      <c r="B123" s="6" t="s">
        <v>191</v>
      </c>
      <c r="C123" s="6" t="s">
        <v>58</v>
      </c>
      <c r="D123" s="6" t="n">
        <v>120</v>
      </c>
      <c r="E123" s="6" t="s">
        <v>553</v>
      </c>
      <c r="F123" s="6" t="s">
        <v>232</v>
      </c>
      <c r="G123" s="9" t="n">
        <v>2</v>
      </c>
      <c r="H123" s="9" t="n">
        <v>1</v>
      </c>
      <c r="I123" s="8" t="n">
        <f aca="false">(G123+H123)/2</f>
        <v>1.5</v>
      </c>
      <c r="J123" s="9" t="n">
        <v>3</v>
      </c>
      <c r="K123" s="6" t="s">
        <v>550</v>
      </c>
      <c r="L123" s="6"/>
      <c r="M123" s="9" t="s">
        <v>61</v>
      </c>
      <c r="N123" s="9"/>
      <c r="O123" s="9"/>
      <c r="P123" s="6" t="s">
        <v>233</v>
      </c>
      <c r="Q123" s="6" t="s">
        <v>61</v>
      </c>
      <c r="R123" s="6" t="s">
        <v>490</v>
      </c>
      <c r="S123" s="6" t="s">
        <v>61</v>
      </c>
      <c r="T123" s="6" t="s">
        <v>195</v>
      </c>
    </row>
    <row r="124" customFormat="false" ht="67.5" hidden="false" customHeight="true" outlineLevel="0" collapsed="false">
      <c r="A124" s="5" t="s">
        <v>554</v>
      </c>
      <c r="B124" s="5" t="s">
        <v>181</v>
      </c>
      <c r="C124" s="5" t="s">
        <v>58</v>
      </c>
      <c r="D124" s="5" t="n">
        <v>121</v>
      </c>
      <c r="E124" s="5" t="s">
        <v>555</v>
      </c>
      <c r="F124" s="5" t="s">
        <v>225</v>
      </c>
      <c r="G124" s="9" t="n">
        <v>1</v>
      </c>
      <c r="H124" s="9" t="n">
        <v>3</v>
      </c>
      <c r="I124" s="8" t="n">
        <f aca="false">(G124+H124)/2</f>
        <v>2</v>
      </c>
      <c r="J124" s="9" t="n">
        <v>2</v>
      </c>
      <c r="K124" s="5" t="s">
        <v>540</v>
      </c>
      <c r="L124" s="5" t="s">
        <v>424</v>
      </c>
      <c r="M124" s="9" t="s">
        <v>227</v>
      </c>
      <c r="N124" s="9"/>
      <c r="O124" s="9"/>
      <c r="P124" s="5" t="s">
        <v>228</v>
      </c>
      <c r="Q124" s="5" t="s">
        <v>128</v>
      </c>
      <c r="R124" s="5" t="s">
        <v>273</v>
      </c>
      <c r="S124" s="5" t="s">
        <v>55</v>
      </c>
      <c r="T124" s="5" t="s">
        <v>556</v>
      </c>
    </row>
    <row r="125" customFormat="false" ht="67.5" hidden="false" customHeight="true" outlineLevel="0" collapsed="false">
      <c r="A125" s="6" t="s">
        <v>557</v>
      </c>
      <c r="B125" s="6" t="s">
        <v>181</v>
      </c>
      <c r="C125" s="6" t="s">
        <v>58</v>
      </c>
      <c r="D125" s="6" t="n">
        <v>122</v>
      </c>
      <c r="E125" s="6" t="s">
        <v>558</v>
      </c>
      <c r="F125" s="6" t="s">
        <v>232</v>
      </c>
      <c r="G125" s="9" t="n">
        <v>2</v>
      </c>
      <c r="H125" s="9" t="n">
        <v>1</v>
      </c>
      <c r="I125" s="8" t="n">
        <f aca="false">(G125+H125)/2</f>
        <v>1.5</v>
      </c>
      <c r="J125" s="9" t="n">
        <v>3</v>
      </c>
      <c r="K125" s="6" t="s">
        <v>554</v>
      </c>
      <c r="L125" s="6"/>
      <c r="M125" s="9" t="s">
        <v>227</v>
      </c>
      <c r="N125" s="9"/>
      <c r="O125" s="9"/>
      <c r="P125" s="6" t="s">
        <v>233</v>
      </c>
      <c r="Q125" s="6" t="s">
        <v>128</v>
      </c>
      <c r="R125" s="6" t="s">
        <v>559</v>
      </c>
      <c r="S125" s="6" t="s">
        <v>74</v>
      </c>
      <c r="T125" s="6"/>
    </row>
    <row r="126" customFormat="false" ht="67.5" hidden="false" customHeight="true" outlineLevel="0" collapsed="false">
      <c r="A126" s="5" t="s">
        <v>560</v>
      </c>
      <c r="B126" s="5" t="s">
        <v>181</v>
      </c>
      <c r="C126" s="5" t="s">
        <v>58</v>
      </c>
      <c r="D126" s="5" t="n">
        <v>123</v>
      </c>
      <c r="E126" s="5" t="s">
        <v>561</v>
      </c>
      <c r="F126" s="5" t="s">
        <v>232</v>
      </c>
      <c r="G126" s="9" t="n">
        <v>2</v>
      </c>
      <c r="H126" s="9" t="n">
        <v>1</v>
      </c>
      <c r="I126" s="8" t="n">
        <f aca="false">(G126+H126)/2</f>
        <v>1.5</v>
      </c>
      <c r="J126" s="9" t="n">
        <v>3</v>
      </c>
      <c r="K126" s="5" t="s">
        <v>557</v>
      </c>
      <c r="L126" s="5"/>
      <c r="M126" s="9" t="s">
        <v>227</v>
      </c>
      <c r="N126" s="9"/>
      <c r="O126" s="9"/>
      <c r="P126" s="5" t="s">
        <v>233</v>
      </c>
      <c r="Q126" s="5" t="s">
        <v>128</v>
      </c>
      <c r="R126" s="5" t="s">
        <v>559</v>
      </c>
      <c r="S126" s="5" t="s">
        <v>55</v>
      </c>
      <c r="T126" s="5" t="s">
        <v>562</v>
      </c>
    </row>
    <row r="127" customFormat="false" ht="67.5" hidden="false" customHeight="true" outlineLevel="0" collapsed="false">
      <c r="A127" s="5" t="s">
        <v>563</v>
      </c>
      <c r="B127" s="5" t="s">
        <v>196</v>
      </c>
      <c r="C127" s="5" t="s">
        <v>58</v>
      </c>
      <c r="D127" s="5" t="n">
        <v>124</v>
      </c>
      <c r="E127" s="5" t="s">
        <v>564</v>
      </c>
      <c r="F127" s="5" t="s">
        <v>225</v>
      </c>
      <c r="G127" s="9" t="n">
        <v>1</v>
      </c>
      <c r="H127" s="9" t="n">
        <v>3</v>
      </c>
      <c r="I127" s="8" t="n">
        <f aca="false">(G127+H127)/2</f>
        <v>2</v>
      </c>
      <c r="J127" s="9" t="n">
        <v>2</v>
      </c>
      <c r="K127" s="5" t="s">
        <v>565</v>
      </c>
      <c r="L127" s="5" t="s">
        <v>566</v>
      </c>
      <c r="M127" s="9" t="s">
        <v>227</v>
      </c>
      <c r="N127" s="9"/>
      <c r="O127" s="9"/>
      <c r="P127" s="5" t="s">
        <v>228</v>
      </c>
      <c r="Q127" s="5" t="s">
        <v>128</v>
      </c>
      <c r="R127" s="5" t="s">
        <v>567</v>
      </c>
      <c r="S127" s="5" t="s">
        <v>200</v>
      </c>
      <c r="T127" s="5" t="s">
        <v>568</v>
      </c>
    </row>
    <row r="128" customFormat="false" ht="67.5" hidden="false" customHeight="true" outlineLevel="0" collapsed="false">
      <c r="A128" s="5" t="s">
        <v>569</v>
      </c>
      <c r="B128" s="5" t="s">
        <v>196</v>
      </c>
      <c r="C128" s="5" t="s">
        <v>58</v>
      </c>
      <c r="D128" s="5" t="n">
        <v>125</v>
      </c>
      <c r="E128" s="5" t="s">
        <v>570</v>
      </c>
      <c r="F128" s="5" t="s">
        <v>232</v>
      </c>
      <c r="G128" s="9" t="n">
        <v>2</v>
      </c>
      <c r="H128" s="9" t="n">
        <v>1</v>
      </c>
      <c r="I128" s="8" t="n">
        <f aca="false">(G128+H128)/2</f>
        <v>1.5</v>
      </c>
      <c r="J128" s="9" t="n">
        <v>3</v>
      </c>
      <c r="K128" s="5" t="s">
        <v>563</v>
      </c>
      <c r="L128" s="5"/>
      <c r="M128" s="9" t="s">
        <v>227</v>
      </c>
      <c r="N128" s="9"/>
      <c r="O128" s="9"/>
      <c r="P128" s="5" t="s">
        <v>233</v>
      </c>
      <c r="Q128" s="5" t="s">
        <v>128</v>
      </c>
      <c r="R128" s="5" t="s">
        <v>571</v>
      </c>
      <c r="S128" s="5" t="s">
        <v>200</v>
      </c>
      <c r="T128" s="5" t="s">
        <v>568</v>
      </c>
    </row>
    <row r="129" customFormat="false" ht="67.5" hidden="false" customHeight="true" outlineLevel="0" collapsed="false">
      <c r="A129" s="5" t="s">
        <v>572</v>
      </c>
      <c r="B129" s="5" t="s">
        <v>196</v>
      </c>
      <c r="C129" s="5" t="s">
        <v>58</v>
      </c>
      <c r="D129" s="5" t="n">
        <v>126</v>
      </c>
      <c r="E129" s="5" t="s">
        <v>573</v>
      </c>
      <c r="F129" s="5" t="s">
        <v>232</v>
      </c>
      <c r="G129" s="9" t="n">
        <v>3</v>
      </c>
      <c r="H129" s="9" t="n">
        <v>2</v>
      </c>
      <c r="I129" s="8" t="n">
        <f aca="false">(G129+H129)/2</f>
        <v>2.5</v>
      </c>
      <c r="J129" s="9" t="n">
        <v>3</v>
      </c>
      <c r="K129" s="5" t="s">
        <v>563</v>
      </c>
      <c r="L129" s="5" t="s">
        <v>254</v>
      </c>
      <c r="M129" s="9" t="s">
        <v>227</v>
      </c>
      <c r="N129" s="9"/>
      <c r="O129" s="9"/>
      <c r="P129" s="5" t="s">
        <v>233</v>
      </c>
      <c r="Q129" s="5" t="s">
        <v>128</v>
      </c>
      <c r="R129" s="5" t="s">
        <v>571</v>
      </c>
      <c r="S129" s="5" t="s">
        <v>200</v>
      </c>
      <c r="T129" s="5" t="s">
        <v>568</v>
      </c>
    </row>
    <row r="130" customFormat="false" ht="67.5" hidden="false" customHeight="true" outlineLevel="0" collapsed="false">
      <c r="A130" s="5" t="s">
        <v>574</v>
      </c>
      <c r="B130" s="5" t="s">
        <v>196</v>
      </c>
      <c r="C130" s="5" t="s">
        <v>58</v>
      </c>
      <c r="D130" s="5" t="n">
        <v>127</v>
      </c>
      <c r="E130" s="5" t="s">
        <v>575</v>
      </c>
      <c r="F130" s="5" t="s">
        <v>232</v>
      </c>
      <c r="G130" s="9" t="n">
        <v>2</v>
      </c>
      <c r="H130" s="9" t="n">
        <v>1</v>
      </c>
      <c r="I130" s="8" t="n">
        <f aca="false">(G130+H130)/2</f>
        <v>1.5</v>
      </c>
      <c r="J130" s="9" t="n">
        <v>3</v>
      </c>
      <c r="K130" s="5" t="s">
        <v>576</v>
      </c>
      <c r="L130" s="5"/>
      <c r="M130" s="9" t="s">
        <v>227</v>
      </c>
      <c r="N130" s="9"/>
      <c r="O130" s="9"/>
      <c r="P130" s="5" t="s">
        <v>233</v>
      </c>
      <c r="Q130" s="5" t="s">
        <v>128</v>
      </c>
      <c r="R130" s="5" t="s">
        <v>571</v>
      </c>
      <c r="S130" s="5" t="s">
        <v>200</v>
      </c>
      <c r="T130" s="5" t="s">
        <v>568</v>
      </c>
    </row>
    <row r="131" customFormat="false" ht="67.5" hidden="false" customHeight="true" outlineLevel="0" collapsed="false">
      <c r="A131" s="5" t="s">
        <v>577</v>
      </c>
      <c r="B131" s="5" t="s">
        <v>196</v>
      </c>
      <c r="C131" s="5" t="s">
        <v>58</v>
      </c>
      <c r="D131" s="5" t="n">
        <v>128</v>
      </c>
      <c r="E131" s="5" t="s">
        <v>578</v>
      </c>
      <c r="F131" s="5" t="s">
        <v>302</v>
      </c>
      <c r="G131" s="9" t="n">
        <v>1</v>
      </c>
      <c r="H131" s="9" t="n">
        <v>2</v>
      </c>
      <c r="I131" s="8" t="n">
        <f aca="false">(G131+H131)/2</f>
        <v>1.5</v>
      </c>
      <c r="J131" s="9" t="n">
        <v>2</v>
      </c>
      <c r="K131" s="5" t="s">
        <v>574</v>
      </c>
      <c r="L131" s="5"/>
      <c r="M131" s="9" t="s">
        <v>227</v>
      </c>
      <c r="N131" s="9"/>
      <c r="O131" s="9"/>
      <c r="P131" s="5" t="s">
        <v>228</v>
      </c>
      <c r="Q131" s="5" t="s">
        <v>128</v>
      </c>
      <c r="R131" s="5" t="s">
        <v>571</v>
      </c>
      <c r="S131" s="5" t="s">
        <v>200</v>
      </c>
      <c r="T131" s="5" t="s">
        <v>568</v>
      </c>
    </row>
    <row r="132" customFormat="false" ht="26.85" hidden="false" customHeight="false" outlineLevel="0" collapsed="false">
      <c r="A132" s="5" t="s">
        <v>579</v>
      </c>
      <c r="B132" s="5" t="s">
        <v>223</v>
      </c>
      <c r="C132" s="5" t="s">
        <v>70</v>
      </c>
      <c r="D132" s="5" t="n">
        <v>129</v>
      </c>
      <c r="E132" s="5" t="s">
        <v>580</v>
      </c>
      <c r="F132" s="5" t="s">
        <v>225</v>
      </c>
      <c r="G132" s="9" t="n">
        <v>1</v>
      </c>
      <c r="H132" s="9" t="n">
        <v>3</v>
      </c>
      <c r="I132" s="8" t="n">
        <f aca="false">(G132+H132)/2</f>
        <v>2</v>
      </c>
      <c r="J132" s="9" t="n">
        <v>2</v>
      </c>
      <c r="K132" s="5" t="s">
        <v>581</v>
      </c>
      <c r="L132" s="5" t="s">
        <v>582</v>
      </c>
      <c r="M132" s="9" t="s">
        <v>227</v>
      </c>
      <c r="N132" s="9"/>
      <c r="O132" s="9"/>
      <c r="P132" s="5" t="s">
        <v>228</v>
      </c>
      <c r="Q132" s="5" t="s">
        <v>53</v>
      </c>
      <c r="R132" s="5" t="s">
        <v>583</v>
      </c>
      <c r="S132" s="5" t="s">
        <v>200</v>
      </c>
      <c r="T132" s="5" t="s">
        <v>584</v>
      </c>
    </row>
    <row r="133" customFormat="false" ht="26.85" hidden="false" customHeight="false" outlineLevel="0" collapsed="false">
      <c r="A133" s="5" t="s">
        <v>585</v>
      </c>
      <c r="B133" s="5" t="s">
        <v>223</v>
      </c>
      <c r="C133" s="5" t="s">
        <v>70</v>
      </c>
      <c r="D133" s="5" t="n">
        <v>130</v>
      </c>
      <c r="E133" s="5" t="s">
        <v>586</v>
      </c>
      <c r="F133" s="5" t="s">
        <v>225</v>
      </c>
      <c r="G133" s="9" t="n">
        <v>1</v>
      </c>
      <c r="H133" s="9" t="n">
        <v>3</v>
      </c>
      <c r="I133" s="8" t="n">
        <f aca="false">(G133+H133)/2</f>
        <v>2</v>
      </c>
      <c r="J133" s="9" t="n">
        <v>2</v>
      </c>
      <c r="K133" s="5" t="s">
        <v>579</v>
      </c>
      <c r="L133" s="5" t="s">
        <v>587</v>
      </c>
      <c r="M133" s="9" t="s">
        <v>227</v>
      </c>
      <c r="N133" s="9"/>
      <c r="O133" s="9"/>
      <c r="P133" s="5" t="s">
        <v>228</v>
      </c>
      <c r="Q133" s="5" t="s">
        <v>53</v>
      </c>
      <c r="R133" s="5" t="s">
        <v>588</v>
      </c>
      <c r="S133" s="5" t="s">
        <v>200</v>
      </c>
      <c r="T133" s="5" t="s">
        <v>584</v>
      </c>
    </row>
    <row r="134" customFormat="false" ht="15" hidden="false" customHeight="false" outlineLevel="0" collapsed="false">
      <c r="A134" s="5" t="s">
        <v>589</v>
      </c>
      <c r="B134" s="5" t="s">
        <v>223</v>
      </c>
      <c r="C134" s="5" t="s">
        <v>70</v>
      </c>
      <c r="D134" s="5" t="n">
        <v>131</v>
      </c>
      <c r="E134" s="5" t="s">
        <v>590</v>
      </c>
      <c r="F134" s="5" t="s">
        <v>232</v>
      </c>
      <c r="G134" s="9" t="n">
        <v>3</v>
      </c>
      <c r="H134" s="9" t="n">
        <v>2</v>
      </c>
      <c r="I134" s="8" t="n">
        <f aca="false">(G134+H134)/2</f>
        <v>2.5</v>
      </c>
      <c r="J134" s="9" t="n">
        <v>3</v>
      </c>
      <c r="K134" s="5" t="s">
        <v>591</v>
      </c>
      <c r="L134" s="5" t="s">
        <v>592</v>
      </c>
      <c r="M134" s="9" t="s">
        <v>227</v>
      </c>
      <c r="N134" s="9"/>
      <c r="O134" s="9"/>
      <c r="P134" s="5" t="s">
        <v>233</v>
      </c>
      <c r="Q134" s="5" t="s">
        <v>53</v>
      </c>
      <c r="R134" s="5" t="s">
        <v>593</v>
      </c>
      <c r="S134" s="5" t="s">
        <v>200</v>
      </c>
      <c r="T134" s="5" t="s">
        <v>584</v>
      </c>
    </row>
    <row r="135" customFormat="false" ht="15" hidden="false" customHeight="false" outlineLevel="0" collapsed="false">
      <c r="A135" s="5" t="s">
        <v>594</v>
      </c>
      <c r="B135" s="5" t="s">
        <v>177</v>
      </c>
      <c r="C135" s="5" t="s">
        <v>70</v>
      </c>
      <c r="D135" s="5" t="n">
        <v>132</v>
      </c>
      <c r="E135" s="5" t="s">
        <v>595</v>
      </c>
      <c r="F135" s="5" t="s">
        <v>232</v>
      </c>
      <c r="G135" s="9" t="n">
        <v>1</v>
      </c>
      <c r="H135" s="9" t="n">
        <v>2</v>
      </c>
      <c r="I135" s="8" t="n">
        <f aca="false">(G135+H135)/2</f>
        <v>1.5</v>
      </c>
      <c r="J135" s="9" t="n">
        <v>2</v>
      </c>
      <c r="K135" s="5" t="s">
        <v>596</v>
      </c>
      <c r="L135" s="5" t="s">
        <v>587</v>
      </c>
      <c r="M135" s="9" t="s">
        <v>227</v>
      </c>
      <c r="N135" s="9"/>
      <c r="O135" s="9"/>
      <c r="P135" s="5" t="s">
        <v>233</v>
      </c>
      <c r="Q135" s="5" t="s">
        <v>53</v>
      </c>
      <c r="R135" s="5" t="s">
        <v>597</v>
      </c>
      <c r="S135" s="5" t="s">
        <v>200</v>
      </c>
      <c r="T135" s="5" t="s">
        <v>584</v>
      </c>
    </row>
    <row r="136" customFormat="false" ht="15" hidden="false" customHeight="false" outlineLevel="0" collapsed="false">
      <c r="A136" s="5" t="s">
        <v>598</v>
      </c>
      <c r="B136" s="5" t="s">
        <v>202</v>
      </c>
      <c r="C136" s="5" t="s">
        <v>76</v>
      </c>
      <c r="D136" s="5" t="n">
        <v>133</v>
      </c>
      <c r="E136" s="5" t="s">
        <v>599</v>
      </c>
      <c r="F136" s="5" t="s">
        <v>225</v>
      </c>
      <c r="G136" s="9" t="n">
        <v>1</v>
      </c>
      <c r="H136" s="9" t="n">
        <v>2</v>
      </c>
      <c r="I136" s="8" t="n">
        <f aca="false">(G136+H136)/2</f>
        <v>1.5</v>
      </c>
      <c r="J136" s="9" t="n">
        <v>2</v>
      </c>
      <c r="K136" s="5" t="s">
        <v>372</v>
      </c>
      <c r="L136" s="5" t="s">
        <v>587</v>
      </c>
      <c r="M136" s="9" t="s">
        <v>227</v>
      </c>
      <c r="N136" s="9"/>
      <c r="O136" s="9"/>
      <c r="P136" s="5" t="s">
        <v>228</v>
      </c>
      <c r="Q136" s="5" t="s">
        <v>53</v>
      </c>
      <c r="R136" s="5" t="s">
        <v>297</v>
      </c>
      <c r="S136" s="5" t="s">
        <v>200</v>
      </c>
      <c r="T136" s="5" t="s">
        <v>584</v>
      </c>
    </row>
    <row r="137" customFormat="false" ht="15" hidden="false" customHeight="false" outlineLevel="0" collapsed="false">
      <c r="A137" s="5" t="s">
        <v>600</v>
      </c>
      <c r="B137" s="5" t="s">
        <v>202</v>
      </c>
      <c r="C137" s="5" t="s">
        <v>76</v>
      </c>
      <c r="D137" s="5" t="n">
        <v>134</v>
      </c>
      <c r="E137" s="5" t="s">
        <v>601</v>
      </c>
      <c r="F137" s="5" t="s">
        <v>232</v>
      </c>
      <c r="G137" s="9" t="n">
        <v>2</v>
      </c>
      <c r="H137" s="9" t="n">
        <v>1</v>
      </c>
      <c r="I137" s="8" t="n">
        <f aca="false">(G137+H137)/2</f>
        <v>1.5</v>
      </c>
      <c r="J137" s="9" t="n">
        <v>3</v>
      </c>
      <c r="K137" s="5" t="s">
        <v>598</v>
      </c>
      <c r="L137" s="5"/>
      <c r="M137" s="9" t="s">
        <v>227</v>
      </c>
      <c r="N137" s="9"/>
      <c r="O137" s="9"/>
      <c r="P137" s="5" t="s">
        <v>233</v>
      </c>
      <c r="Q137" s="5" t="s">
        <v>53</v>
      </c>
      <c r="R137" s="5" t="s">
        <v>602</v>
      </c>
      <c r="S137" s="5" t="s">
        <v>200</v>
      </c>
      <c r="T137" s="5" t="s">
        <v>584</v>
      </c>
    </row>
    <row r="138" customFormat="false" ht="15" hidden="false" customHeight="false" outlineLevel="0" collapsed="false">
      <c r="A138" s="5" t="s">
        <v>603</v>
      </c>
      <c r="B138" s="5" t="s">
        <v>202</v>
      </c>
      <c r="C138" s="5" t="s">
        <v>76</v>
      </c>
      <c r="D138" s="5" t="n">
        <v>135</v>
      </c>
      <c r="E138" s="5" t="s">
        <v>604</v>
      </c>
      <c r="F138" s="5" t="s">
        <v>232</v>
      </c>
      <c r="G138" s="9" t="n">
        <v>2</v>
      </c>
      <c r="H138" s="9" t="n">
        <v>1</v>
      </c>
      <c r="I138" s="8" t="n">
        <f aca="false">(G138+H138)/2</f>
        <v>1.5</v>
      </c>
      <c r="J138" s="9" t="n">
        <v>2</v>
      </c>
      <c r="K138" s="5" t="s">
        <v>600</v>
      </c>
      <c r="L138" s="5"/>
      <c r="M138" s="9" t="s">
        <v>227</v>
      </c>
      <c r="N138" s="9"/>
      <c r="O138" s="9"/>
      <c r="P138" s="5" t="s">
        <v>233</v>
      </c>
      <c r="Q138" s="5" t="s">
        <v>53</v>
      </c>
      <c r="R138" s="5" t="s">
        <v>244</v>
      </c>
      <c r="S138" s="5" t="s">
        <v>200</v>
      </c>
      <c r="T138" s="5" t="s">
        <v>584</v>
      </c>
    </row>
    <row r="139" customFormat="false" ht="15" hidden="false" customHeight="false" outlineLevel="0" collapsed="false">
      <c r="A139" s="5" t="s">
        <v>605</v>
      </c>
      <c r="B139" s="5" t="s">
        <v>202</v>
      </c>
      <c r="C139" s="5" t="s">
        <v>76</v>
      </c>
      <c r="D139" s="5" t="n">
        <v>136</v>
      </c>
      <c r="E139" s="5" t="s">
        <v>464</v>
      </c>
      <c r="F139" s="5" t="s">
        <v>302</v>
      </c>
      <c r="G139" s="9" t="n">
        <v>1</v>
      </c>
      <c r="H139" s="9" t="n">
        <v>1</v>
      </c>
      <c r="I139" s="8" t="n">
        <f aca="false">(G139+H139)/2</f>
        <v>1</v>
      </c>
      <c r="J139" s="9" t="n">
        <v>2</v>
      </c>
      <c r="K139" s="5" t="s">
        <v>603</v>
      </c>
      <c r="L139" s="5"/>
      <c r="M139" s="9" t="s">
        <v>227</v>
      </c>
      <c r="N139" s="9"/>
      <c r="O139" s="9"/>
      <c r="P139" s="5" t="s">
        <v>228</v>
      </c>
      <c r="Q139" s="5" t="s">
        <v>53</v>
      </c>
      <c r="R139" s="5" t="s">
        <v>297</v>
      </c>
      <c r="S139" s="5" t="s">
        <v>200</v>
      </c>
      <c r="T139" s="5" t="s">
        <v>584</v>
      </c>
    </row>
  </sheetData>
  <mergeCells count="2">
    <mergeCell ref="A1:Q1"/>
    <mergeCell ref="A2:Q2"/>
  </mergeCells>
  <conditionalFormatting sqref="M4:M126">
    <cfRule type="containsText" priority="2" operator="containsText" aboveAverage="0" equalAverage="0" bottom="0" percent="0" rank="0" text="Blockiert" dxfId="5">
      <formula>NOT(ISERROR(SEARCH("Blockiert",M4)))</formula>
    </cfRule>
  </conditionalFormatting>
  <dataValidations count="4">
    <dataValidation allowBlank="false" errorStyle="stop" operator="between" showDropDown="false" showErrorMessage="false" showInputMessage="false" sqref="M4:M139" type="list">
      <formula1>"Offen,Bereit,In Bearbeitung,Blockiert,Im Review,Erledigt,Gestrichen"</formula1>
      <formula2>0</formula2>
    </dataValidation>
    <dataValidation allowBlank="false" errorStyle="stop" operator="between" showDropDown="false" showErrorMessage="false" showInputMessage="false" sqref="O4:O139" type="list">
      <formula1>"Mensch,Claude,Codex"</formula1>
      <formula2>0</formula2>
    </dataValidation>
    <dataValidation allowBlank="false" errorStyle="stop" operator="between" showDropDown="false" showErrorMessage="false" showInputMessage="false" sqref="G4:H139" type="whole">
      <formula1>1</formula1>
      <formula2>5</formula2>
    </dataValidation>
    <dataValidation allowBlank="false" errorStyle="stop" operator="between" showDropDown="false" showErrorMessage="false" showInputMessage="false" sqref="J4:J139" type="list">
      <formula1>"1,2,3,5"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9"/>
    <col collapsed="false" customWidth="true" hidden="false" outlineLevel="0" max="2" min="2" style="1" width="78"/>
    <col collapsed="false" customWidth="true" hidden="false" outlineLevel="0" max="3" min="3" style="1" width="61"/>
    <col collapsed="false" customWidth="true" hidden="false" outlineLevel="0" max="4" min="4" style="1" width="72"/>
    <col collapsed="false" customWidth="true" hidden="false" outlineLevel="0" max="5" min="5" style="1" width="61"/>
    <col collapsed="false" customWidth="true" hidden="false" outlineLevel="0" max="6" min="6" style="1" width="65"/>
    <col collapsed="false" customWidth="true" hidden="false" outlineLevel="0" max="7" min="7" style="1" width="24"/>
  </cols>
  <sheetData>
    <row r="1" customFormat="false" ht="27.75" hidden="false" customHeight="true" outlineLevel="0" collapsed="false">
      <c r="A1" s="2" t="s">
        <v>606</v>
      </c>
      <c r="B1" s="2"/>
      <c r="C1" s="2"/>
      <c r="D1" s="2"/>
      <c r="E1" s="2"/>
      <c r="F1" s="2"/>
      <c r="G1" s="2"/>
    </row>
    <row r="2" customFormat="false" ht="30" hidden="false" customHeight="true" outlineLevel="0" collapsed="false">
      <c r="A2" s="3" t="s">
        <v>607</v>
      </c>
      <c r="B2" s="3"/>
      <c r="C2" s="3"/>
      <c r="D2" s="3"/>
      <c r="E2" s="3"/>
      <c r="F2" s="3"/>
      <c r="G2" s="3"/>
    </row>
    <row r="3" customFormat="false" ht="43.5" hidden="false" customHeight="true" outlineLevel="0" collapsed="false">
      <c r="A3" s="4" t="s">
        <v>209</v>
      </c>
      <c r="B3" s="4" t="s">
        <v>608</v>
      </c>
      <c r="C3" s="4" t="s">
        <v>609</v>
      </c>
      <c r="D3" s="4" t="s">
        <v>610</v>
      </c>
      <c r="E3" s="4" t="s">
        <v>611</v>
      </c>
      <c r="F3" s="4" t="s">
        <v>612</v>
      </c>
      <c r="G3" s="4" t="s">
        <v>613</v>
      </c>
    </row>
    <row r="4" customFormat="false" ht="117.75" hidden="false" customHeight="true" outlineLevel="0" collapsed="false">
      <c r="A4" s="5" t="s">
        <v>222</v>
      </c>
      <c r="B4" s="5" t="s">
        <v>614</v>
      </c>
      <c r="C4" s="5" t="s">
        <v>615</v>
      </c>
      <c r="D4" s="5" t="s">
        <v>616</v>
      </c>
      <c r="E4" s="5" t="s">
        <v>617</v>
      </c>
      <c r="F4" s="5" t="s">
        <v>618</v>
      </c>
      <c r="G4" s="5" t="s">
        <v>619</v>
      </c>
    </row>
    <row r="5" customFormat="false" ht="117.75" hidden="false" customHeight="true" outlineLevel="0" collapsed="false">
      <c r="A5" s="6" t="s">
        <v>230</v>
      </c>
      <c r="B5" s="6" t="s">
        <v>620</v>
      </c>
      <c r="C5" s="6" t="s">
        <v>621</v>
      </c>
      <c r="D5" s="6" t="s">
        <v>622</v>
      </c>
      <c r="E5" s="6" t="s">
        <v>623</v>
      </c>
      <c r="F5" s="6" t="s">
        <v>618</v>
      </c>
      <c r="G5" s="6" t="s">
        <v>624</v>
      </c>
    </row>
    <row r="6" customFormat="false" ht="117.75" hidden="false" customHeight="true" outlineLevel="0" collapsed="false">
      <c r="A6" s="5" t="s">
        <v>235</v>
      </c>
      <c r="B6" s="5" t="s">
        <v>625</v>
      </c>
      <c r="C6" s="5" t="s">
        <v>626</v>
      </c>
      <c r="D6" s="5" t="s">
        <v>627</v>
      </c>
      <c r="E6" s="5" t="s">
        <v>628</v>
      </c>
      <c r="F6" s="5" t="s">
        <v>618</v>
      </c>
      <c r="G6" s="5" t="s">
        <v>629</v>
      </c>
    </row>
    <row r="7" customFormat="false" ht="117.75" hidden="false" customHeight="true" outlineLevel="0" collapsed="false">
      <c r="A7" s="6" t="s">
        <v>238</v>
      </c>
      <c r="B7" s="6" t="s">
        <v>630</v>
      </c>
      <c r="C7" s="6" t="s">
        <v>631</v>
      </c>
      <c r="D7" s="6" t="s">
        <v>632</v>
      </c>
      <c r="E7" s="6" t="s">
        <v>633</v>
      </c>
      <c r="F7" s="6" t="s">
        <v>618</v>
      </c>
      <c r="G7" s="6" t="s">
        <v>634</v>
      </c>
    </row>
    <row r="8" customFormat="false" ht="117.75" hidden="false" customHeight="true" outlineLevel="0" collapsed="false">
      <c r="A8" s="5" t="s">
        <v>241</v>
      </c>
      <c r="B8" s="5" t="s">
        <v>635</v>
      </c>
      <c r="C8" s="5" t="s">
        <v>636</v>
      </c>
      <c r="D8" s="5" t="s">
        <v>637</v>
      </c>
      <c r="E8" s="5" t="s">
        <v>638</v>
      </c>
      <c r="F8" s="5" t="s">
        <v>618</v>
      </c>
      <c r="G8" s="5" t="s">
        <v>639</v>
      </c>
    </row>
    <row r="9" customFormat="false" ht="117.75" hidden="false" customHeight="true" outlineLevel="0" collapsed="false">
      <c r="A9" s="6" t="s">
        <v>245</v>
      </c>
      <c r="B9" s="6" t="s">
        <v>640</v>
      </c>
      <c r="C9" s="6" t="s">
        <v>641</v>
      </c>
      <c r="D9" s="6" t="s">
        <v>642</v>
      </c>
      <c r="E9" s="6" t="s">
        <v>643</v>
      </c>
      <c r="F9" s="6" t="s">
        <v>618</v>
      </c>
      <c r="G9" s="6" t="s">
        <v>644</v>
      </c>
    </row>
    <row r="10" customFormat="false" ht="117.75" hidden="false" customHeight="true" outlineLevel="0" collapsed="false">
      <c r="A10" s="5" t="s">
        <v>248</v>
      </c>
      <c r="B10" s="5" t="s">
        <v>645</v>
      </c>
      <c r="C10" s="5" t="s">
        <v>646</v>
      </c>
      <c r="D10" s="5" t="s">
        <v>647</v>
      </c>
      <c r="E10" s="5" t="s">
        <v>648</v>
      </c>
      <c r="F10" s="5" t="s">
        <v>618</v>
      </c>
      <c r="G10" s="5" t="s">
        <v>649</v>
      </c>
    </row>
    <row r="11" customFormat="false" ht="117.75" hidden="false" customHeight="true" outlineLevel="0" collapsed="false">
      <c r="A11" s="6" t="s">
        <v>252</v>
      </c>
      <c r="B11" s="6" t="s">
        <v>650</v>
      </c>
      <c r="C11" s="6" t="s">
        <v>651</v>
      </c>
      <c r="D11" s="6" t="s">
        <v>652</v>
      </c>
      <c r="E11" s="6" t="s">
        <v>653</v>
      </c>
      <c r="F11" s="6" t="s">
        <v>618</v>
      </c>
      <c r="G11" s="6" t="s">
        <v>654</v>
      </c>
    </row>
    <row r="12" customFormat="false" ht="117.75" hidden="false" customHeight="true" outlineLevel="0" collapsed="false">
      <c r="A12" s="5" t="s">
        <v>256</v>
      </c>
      <c r="B12" s="5" t="s">
        <v>655</v>
      </c>
      <c r="C12" s="5" t="s">
        <v>656</v>
      </c>
      <c r="D12" s="5" t="s">
        <v>657</v>
      </c>
      <c r="E12" s="5" t="s">
        <v>658</v>
      </c>
      <c r="F12" s="5" t="s">
        <v>618</v>
      </c>
      <c r="G12" s="5" t="s">
        <v>659</v>
      </c>
    </row>
    <row r="13" customFormat="false" ht="117.75" hidden="false" customHeight="true" outlineLevel="0" collapsed="false">
      <c r="A13" s="6" t="s">
        <v>260</v>
      </c>
      <c r="B13" s="6" t="s">
        <v>660</v>
      </c>
      <c r="C13" s="6" t="s">
        <v>661</v>
      </c>
      <c r="D13" s="6" t="s">
        <v>662</v>
      </c>
      <c r="E13" s="6" t="s">
        <v>663</v>
      </c>
      <c r="F13" s="6" t="s">
        <v>618</v>
      </c>
      <c r="G13" s="6" t="s">
        <v>69</v>
      </c>
    </row>
    <row r="14" customFormat="false" ht="117.75" hidden="false" customHeight="true" outlineLevel="0" collapsed="false">
      <c r="A14" s="5" t="s">
        <v>264</v>
      </c>
      <c r="B14" s="5" t="s">
        <v>664</v>
      </c>
      <c r="C14" s="5" t="s">
        <v>665</v>
      </c>
      <c r="D14" s="5" t="s">
        <v>666</v>
      </c>
      <c r="E14" s="5" t="s">
        <v>667</v>
      </c>
      <c r="F14" s="5" t="s">
        <v>618</v>
      </c>
      <c r="G14" s="5" t="s">
        <v>69</v>
      </c>
    </row>
    <row r="15" customFormat="false" ht="117.75" hidden="false" customHeight="true" outlineLevel="0" collapsed="false">
      <c r="A15" s="6" t="s">
        <v>267</v>
      </c>
      <c r="B15" s="6" t="s">
        <v>668</v>
      </c>
      <c r="C15" s="6" t="s">
        <v>669</v>
      </c>
      <c r="D15" s="6" t="s">
        <v>670</v>
      </c>
      <c r="E15" s="6" t="s">
        <v>671</v>
      </c>
      <c r="F15" s="6" t="s">
        <v>618</v>
      </c>
      <c r="G15" s="6" t="s">
        <v>69</v>
      </c>
    </row>
    <row r="16" customFormat="false" ht="117.75" hidden="false" customHeight="true" outlineLevel="0" collapsed="false">
      <c r="A16" s="5" t="s">
        <v>269</v>
      </c>
      <c r="B16" s="5" t="s">
        <v>672</v>
      </c>
      <c r="C16" s="5" t="s">
        <v>673</v>
      </c>
      <c r="D16" s="5" t="s">
        <v>674</v>
      </c>
      <c r="E16" s="5" t="s">
        <v>675</v>
      </c>
      <c r="F16" s="5" t="s">
        <v>618</v>
      </c>
      <c r="G16" s="5" t="s">
        <v>94</v>
      </c>
    </row>
    <row r="17" customFormat="false" ht="117.75" hidden="false" customHeight="true" outlineLevel="0" collapsed="false">
      <c r="A17" s="6" t="s">
        <v>274</v>
      </c>
      <c r="B17" s="6" t="s">
        <v>676</v>
      </c>
      <c r="C17" s="6" t="s">
        <v>677</v>
      </c>
      <c r="D17" s="6" t="s">
        <v>678</v>
      </c>
      <c r="E17" s="6" t="s">
        <v>679</v>
      </c>
      <c r="F17" s="6" t="s">
        <v>618</v>
      </c>
      <c r="G17" s="6" t="s">
        <v>94</v>
      </c>
    </row>
    <row r="18" customFormat="false" ht="117.75" hidden="false" customHeight="true" outlineLevel="0" collapsed="false">
      <c r="A18" s="5" t="s">
        <v>277</v>
      </c>
      <c r="B18" s="5" t="s">
        <v>680</v>
      </c>
      <c r="C18" s="5" t="s">
        <v>681</v>
      </c>
      <c r="D18" s="5" t="s">
        <v>682</v>
      </c>
      <c r="E18" s="5" t="s">
        <v>683</v>
      </c>
      <c r="F18" s="5" t="s">
        <v>618</v>
      </c>
      <c r="G18" s="5" t="s">
        <v>94</v>
      </c>
    </row>
    <row r="19" customFormat="false" ht="117.75" hidden="false" customHeight="true" outlineLevel="0" collapsed="false">
      <c r="A19" s="6" t="s">
        <v>279</v>
      </c>
      <c r="B19" s="6" t="s">
        <v>684</v>
      </c>
      <c r="C19" s="6" t="s">
        <v>685</v>
      </c>
      <c r="D19" s="6" t="s">
        <v>686</v>
      </c>
      <c r="E19" s="6" t="s">
        <v>687</v>
      </c>
      <c r="F19" s="6" t="s">
        <v>618</v>
      </c>
      <c r="G19" s="6" t="s">
        <v>94</v>
      </c>
    </row>
    <row r="20" customFormat="false" ht="117.75" hidden="false" customHeight="true" outlineLevel="0" collapsed="false">
      <c r="A20" s="5" t="s">
        <v>281</v>
      </c>
      <c r="B20" s="5" t="s">
        <v>688</v>
      </c>
      <c r="C20" s="5" t="s">
        <v>689</v>
      </c>
      <c r="D20" s="5" t="s">
        <v>690</v>
      </c>
      <c r="E20" s="5" t="s">
        <v>691</v>
      </c>
      <c r="F20" s="5" t="s">
        <v>618</v>
      </c>
      <c r="G20" s="5" t="s">
        <v>98</v>
      </c>
    </row>
    <row r="21" customFormat="false" ht="117.75" hidden="false" customHeight="true" outlineLevel="0" collapsed="false">
      <c r="A21" s="6" t="s">
        <v>284</v>
      </c>
      <c r="B21" s="6" t="s">
        <v>692</v>
      </c>
      <c r="C21" s="6" t="s">
        <v>693</v>
      </c>
      <c r="D21" s="6" t="s">
        <v>694</v>
      </c>
      <c r="E21" s="6" t="s">
        <v>695</v>
      </c>
      <c r="F21" s="6" t="s">
        <v>618</v>
      </c>
      <c r="G21" s="6" t="s">
        <v>98</v>
      </c>
    </row>
    <row r="22" customFormat="false" ht="117.75" hidden="false" customHeight="true" outlineLevel="0" collapsed="false">
      <c r="A22" s="5" t="s">
        <v>286</v>
      </c>
      <c r="B22" s="5" t="s">
        <v>696</v>
      </c>
      <c r="C22" s="5" t="s">
        <v>697</v>
      </c>
      <c r="D22" s="5" t="s">
        <v>698</v>
      </c>
      <c r="E22" s="5" t="s">
        <v>699</v>
      </c>
      <c r="F22" s="5" t="s">
        <v>618</v>
      </c>
      <c r="G22" s="5" t="s">
        <v>98</v>
      </c>
    </row>
    <row r="23" customFormat="false" ht="117.75" hidden="false" customHeight="true" outlineLevel="0" collapsed="false">
      <c r="A23" s="6" t="s">
        <v>288</v>
      </c>
      <c r="B23" s="6" t="s">
        <v>700</v>
      </c>
      <c r="C23" s="6" t="s">
        <v>701</v>
      </c>
      <c r="D23" s="6" t="s">
        <v>702</v>
      </c>
      <c r="E23" s="6" t="s">
        <v>703</v>
      </c>
      <c r="F23" s="6" t="s">
        <v>618</v>
      </c>
      <c r="G23" s="6" t="s">
        <v>169</v>
      </c>
    </row>
    <row r="24" customFormat="false" ht="117.75" hidden="false" customHeight="true" outlineLevel="0" collapsed="false">
      <c r="A24" s="5" t="s">
        <v>290</v>
      </c>
      <c r="B24" s="5" t="s">
        <v>704</v>
      </c>
      <c r="C24" s="5" t="s">
        <v>705</v>
      </c>
      <c r="D24" s="5" t="s">
        <v>706</v>
      </c>
      <c r="E24" s="5" t="s">
        <v>707</v>
      </c>
      <c r="F24" s="5" t="s">
        <v>618</v>
      </c>
      <c r="G24" s="5" t="s">
        <v>169</v>
      </c>
    </row>
    <row r="25" customFormat="false" ht="117.75" hidden="false" customHeight="true" outlineLevel="0" collapsed="false">
      <c r="A25" s="6" t="s">
        <v>292</v>
      </c>
      <c r="B25" s="6" t="s">
        <v>708</v>
      </c>
      <c r="C25" s="6" t="s">
        <v>709</v>
      </c>
      <c r="D25" s="6" t="s">
        <v>710</v>
      </c>
      <c r="E25" s="6" t="s">
        <v>711</v>
      </c>
      <c r="F25" s="6" t="s">
        <v>618</v>
      </c>
      <c r="G25" s="6" t="s">
        <v>169</v>
      </c>
    </row>
    <row r="26" customFormat="false" ht="117.75" hidden="false" customHeight="true" outlineLevel="0" collapsed="false">
      <c r="A26" s="5" t="s">
        <v>294</v>
      </c>
      <c r="B26" s="5" t="s">
        <v>712</v>
      </c>
      <c r="C26" s="5" t="s">
        <v>713</v>
      </c>
      <c r="D26" s="5" t="s">
        <v>714</v>
      </c>
      <c r="E26" s="5" t="s">
        <v>715</v>
      </c>
      <c r="F26" s="5" t="s">
        <v>618</v>
      </c>
      <c r="G26" s="5" t="s">
        <v>173</v>
      </c>
    </row>
    <row r="27" customFormat="false" ht="117.75" hidden="false" customHeight="true" outlineLevel="0" collapsed="false">
      <c r="A27" s="6" t="s">
        <v>298</v>
      </c>
      <c r="B27" s="6" t="s">
        <v>716</v>
      </c>
      <c r="C27" s="6" t="s">
        <v>717</v>
      </c>
      <c r="D27" s="6" t="s">
        <v>718</v>
      </c>
      <c r="E27" s="6" t="s">
        <v>719</v>
      </c>
      <c r="F27" s="6" t="s">
        <v>618</v>
      </c>
      <c r="G27" s="6" t="s">
        <v>173</v>
      </c>
    </row>
    <row r="28" customFormat="false" ht="117.75" hidden="false" customHeight="true" outlineLevel="0" collapsed="false">
      <c r="A28" s="5" t="s">
        <v>300</v>
      </c>
      <c r="B28" s="5" t="s">
        <v>720</v>
      </c>
      <c r="C28" s="5" t="s">
        <v>721</v>
      </c>
      <c r="D28" s="5" t="s">
        <v>722</v>
      </c>
      <c r="E28" s="5" t="s">
        <v>723</v>
      </c>
      <c r="F28" s="5" t="s">
        <v>618</v>
      </c>
      <c r="G28" s="5" t="s">
        <v>173</v>
      </c>
    </row>
    <row r="29" customFormat="false" ht="117.75" hidden="false" customHeight="true" outlineLevel="0" collapsed="false">
      <c r="A29" s="6" t="s">
        <v>303</v>
      </c>
      <c r="B29" s="6" t="s">
        <v>724</v>
      </c>
      <c r="C29" s="6" t="s">
        <v>725</v>
      </c>
      <c r="D29" s="6" t="s">
        <v>726</v>
      </c>
      <c r="E29" s="6" t="s">
        <v>727</v>
      </c>
      <c r="F29" s="6" t="s">
        <v>618</v>
      </c>
      <c r="G29" s="6" t="s">
        <v>173</v>
      </c>
    </row>
    <row r="30" customFormat="false" ht="117.75" hidden="false" customHeight="true" outlineLevel="0" collapsed="false">
      <c r="A30" s="5" t="s">
        <v>305</v>
      </c>
      <c r="B30" s="5" t="s">
        <v>728</v>
      </c>
      <c r="C30" s="5" t="s">
        <v>729</v>
      </c>
      <c r="D30" s="5" t="s">
        <v>730</v>
      </c>
      <c r="E30" s="5" t="s">
        <v>731</v>
      </c>
      <c r="F30" s="5" t="s">
        <v>618</v>
      </c>
      <c r="G30" s="5" t="s">
        <v>624</v>
      </c>
    </row>
    <row r="31" customFormat="false" ht="117.75" hidden="false" customHeight="true" outlineLevel="0" collapsed="false">
      <c r="A31" s="6" t="s">
        <v>309</v>
      </c>
      <c r="B31" s="6" t="s">
        <v>732</v>
      </c>
      <c r="C31" s="6" t="s">
        <v>733</v>
      </c>
      <c r="D31" s="6" t="s">
        <v>734</v>
      </c>
      <c r="E31" s="6" t="s">
        <v>735</v>
      </c>
      <c r="F31" s="6" t="s">
        <v>618</v>
      </c>
      <c r="G31" s="6" t="s">
        <v>177</v>
      </c>
    </row>
    <row r="32" customFormat="false" ht="117.75" hidden="false" customHeight="true" outlineLevel="0" collapsed="false">
      <c r="A32" s="5" t="s">
        <v>312</v>
      </c>
      <c r="B32" s="5" t="s">
        <v>736</v>
      </c>
      <c r="C32" s="5" t="s">
        <v>737</v>
      </c>
      <c r="D32" s="5" t="s">
        <v>738</v>
      </c>
      <c r="E32" s="5" t="s">
        <v>739</v>
      </c>
      <c r="F32" s="5" t="s">
        <v>618</v>
      </c>
      <c r="G32" s="5" t="s">
        <v>177</v>
      </c>
    </row>
    <row r="33" customFormat="false" ht="117.75" hidden="false" customHeight="true" outlineLevel="0" collapsed="false">
      <c r="A33" s="6" t="s">
        <v>314</v>
      </c>
      <c r="B33" s="6" t="s">
        <v>740</v>
      </c>
      <c r="C33" s="6" t="s">
        <v>741</v>
      </c>
      <c r="D33" s="6" t="s">
        <v>742</v>
      </c>
      <c r="E33" s="6" t="s">
        <v>743</v>
      </c>
      <c r="F33" s="6" t="s">
        <v>618</v>
      </c>
      <c r="G33" s="6" t="s">
        <v>634</v>
      </c>
    </row>
    <row r="34" customFormat="false" ht="117.75" hidden="false" customHeight="true" outlineLevel="0" collapsed="false">
      <c r="A34" s="5" t="s">
        <v>318</v>
      </c>
      <c r="B34" s="5" t="s">
        <v>744</v>
      </c>
      <c r="C34" s="5" t="s">
        <v>745</v>
      </c>
      <c r="D34" s="5" t="s">
        <v>746</v>
      </c>
      <c r="E34" s="5" t="s">
        <v>747</v>
      </c>
      <c r="F34" s="5" t="s">
        <v>618</v>
      </c>
      <c r="G34" s="5" t="s">
        <v>130</v>
      </c>
    </row>
    <row r="35" customFormat="false" ht="117.75" hidden="false" customHeight="true" outlineLevel="0" collapsed="false">
      <c r="A35" s="6" t="s">
        <v>322</v>
      </c>
      <c r="B35" s="6" t="s">
        <v>748</v>
      </c>
      <c r="C35" s="6" t="s">
        <v>749</v>
      </c>
      <c r="D35" s="6" t="s">
        <v>750</v>
      </c>
      <c r="E35" s="6" t="s">
        <v>751</v>
      </c>
      <c r="F35" s="6" t="s">
        <v>618</v>
      </c>
      <c r="G35" s="6" t="s">
        <v>130</v>
      </c>
    </row>
    <row r="36" customFormat="false" ht="117.75" hidden="false" customHeight="true" outlineLevel="0" collapsed="false">
      <c r="A36" s="5" t="s">
        <v>324</v>
      </c>
      <c r="B36" s="5" t="s">
        <v>752</v>
      </c>
      <c r="C36" s="5" t="s">
        <v>753</v>
      </c>
      <c r="D36" s="5" t="s">
        <v>754</v>
      </c>
      <c r="E36" s="5" t="s">
        <v>755</v>
      </c>
      <c r="F36" s="5" t="s">
        <v>618</v>
      </c>
      <c r="G36" s="5" t="s">
        <v>130</v>
      </c>
    </row>
    <row r="37" customFormat="false" ht="117.75" hidden="false" customHeight="true" outlineLevel="0" collapsed="false">
      <c r="A37" s="6" t="s">
        <v>326</v>
      </c>
      <c r="B37" s="6" t="s">
        <v>756</v>
      </c>
      <c r="C37" s="6" t="s">
        <v>757</v>
      </c>
      <c r="D37" s="6" t="s">
        <v>758</v>
      </c>
      <c r="E37" s="6" t="s">
        <v>759</v>
      </c>
      <c r="F37" s="6" t="s">
        <v>618</v>
      </c>
      <c r="G37" s="6" t="s">
        <v>760</v>
      </c>
    </row>
    <row r="38" customFormat="false" ht="117.75" hidden="false" customHeight="true" outlineLevel="0" collapsed="false">
      <c r="A38" s="5" t="s">
        <v>329</v>
      </c>
      <c r="B38" s="5" t="s">
        <v>761</v>
      </c>
      <c r="C38" s="5" t="s">
        <v>762</v>
      </c>
      <c r="D38" s="5" t="s">
        <v>763</v>
      </c>
      <c r="E38" s="5" t="s">
        <v>764</v>
      </c>
      <c r="F38" s="5" t="s">
        <v>618</v>
      </c>
      <c r="G38" s="5" t="s">
        <v>765</v>
      </c>
    </row>
    <row r="39" customFormat="false" ht="117.75" hidden="false" customHeight="true" outlineLevel="0" collapsed="false">
      <c r="A39" s="6" t="s">
        <v>333</v>
      </c>
      <c r="B39" s="6" t="s">
        <v>766</v>
      </c>
      <c r="C39" s="6" t="s">
        <v>767</v>
      </c>
      <c r="D39" s="6" t="s">
        <v>768</v>
      </c>
      <c r="E39" s="6" t="s">
        <v>769</v>
      </c>
      <c r="F39" s="6" t="s">
        <v>618</v>
      </c>
      <c r="G39" s="6" t="s">
        <v>770</v>
      </c>
    </row>
    <row r="40" customFormat="false" ht="117.75" hidden="false" customHeight="true" outlineLevel="0" collapsed="false">
      <c r="A40" s="5" t="s">
        <v>337</v>
      </c>
      <c r="B40" s="5" t="s">
        <v>771</v>
      </c>
      <c r="C40" s="5" t="s">
        <v>772</v>
      </c>
      <c r="D40" s="5" t="s">
        <v>773</v>
      </c>
      <c r="E40" s="5" t="s">
        <v>774</v>
      </c>
      <c r="F40" s="5" t="s">
        <v>618</v>
      </c>
      <c r="G40" s="5" t="s">
        <v>75</v>
      </c>
    </row>
    <row r="41" customFormat="false" ht="117.75" hidden="false" customHeight="true" outlineLevel="0" collapsed="false">
      <c r="A41" s="6" t="s">
        <v>340</v>
      </c>
      <c r="B41" s="6" t="s">
        <v>775</v>
      </c>
      <c r="C41" s="6" t="s">
        <v>776</v>
      </c>
      <c r="D41" s="6" t="s">
        <v>777</v>
      </c>
      <c r="E41" s="6" t="s">
        <v>778</v>
      </c>
      <c r="F41" s="6" t="s">
        <v>618</v>
      </c>
      <c r="G41" s="6" t="s">
        <v>75</v>
      </c>
    </row>
    <row r="42" customFormat="false" ht="117.75" hidden="false" customHeight="true" outlineLevel="0" collapsed="false">
      <c r="A42" s="5" t="s">
        <v>342</v>
      </c>
      <c r="B42" s="5" t="s">
        <v>779</v>
      </c>
      <c r="C42" s="5" t="s">
        <v>780</v>
      </c>
      <c r="D42" s="5" t="s">
        <v>781</v>
      </c>
      <c r="E42" s="5" t="s">
        <v>782</v>
      </c>
      <c r="F42" s="5" t="s">
        <v>618</v>
      </c>
      <c r="G42" s="5" t="s">
        <v>75</v>
      </c>
    </row>
    <row r="43" customFormat="false" ht="117.75" hidden="false" customHeight="true" outlineLevel="0" collapsed="false">
      <c r="A43" s="6" t="s">
        <v>344</v>
      </c>
      <c r="B43" s="6" t="s">
        <v>783</v>
      </c>
      <c r="C43" s="6" t="s">
        <v>784</v>
      </c>
      <c r="D43" s="6" t="s">
        <v>785</v>
      </c>
      <c r="E43" s="6" t="s">
        <v>786</v>
      </c>
      <c r="F43" s="6" t="s">
        <v>618</v>
      </c>
      <c r="G43" s="6" t="s">
        <v>75</v>
      </c>
    </row>
    <row r="44" customFormat="false" ht="117.75" hidden="false" customHeight="true" outlineLevel="0" collapsed="false">
      <c r="A44" s="5" t="s">
        <v>346</v>
      </c>
      <c r="B44" s="5" t="s">
        <v>787</v>
      </c>
      <c r="C44" s="5" t="s">
        <v>788</v>
      </c>
      <c r="D44" s="5" t="s">
        <v>789</v>
      </c>
      <c r="E44" s="5" t="s">
        <v>790</v>
      </c>
      <c r="F44" s="5" t="s">
        <v>618</v>
      </c>
      <c r="G44" s="5" t="s">
        <v>156</v>
      </c>
    </row>
    <row r="45" customFormat="false" ht="117.75" hidden="false" customHeight="true" outlineLevel="0" collapsed="false">
      <c r="A45" s="6" t="s">
        <v>349</v>
      </c>
      <c r="B45" s="6" t="s">
        <v>791</v>
      </c>
      <c r="C45" s="6" t="s">
        <v>792</v>
      </c>
      <c r="D45" s="6" t="s">
        <v>793</v>
      </c>
      <c r="E45" s="6" t="s">
        <v>794</v>
      </c>
      <c r="F45" s="6" t="s">
        <v>618</v>
      </c>
      <c r="G45" s="6" t="s">
        <v>156</v>
      </c>
    </row>
    <row r="46" customFormat="false" ht="117.75" hidden="false" customHeight="true" outlineLevel="0" collapsed="false">
      <c r="A46" s="5" t="s">
        <v>351</v>
      </c>
      <c r="B46" s="5" t="s">
        <v>795</v>
      </c>
      <c r="C46" s="5" t="s">
        <v>796</v>
      </c>
      <c r="D46" s="5" t="s">
        <v>797</v>
      </c>
      <c r="E46" s="5" t="s">
        <v>798</v>
      </c>
      <c r="F46" s="5" t="s">
        <v>618</v>
      </c>
      <c r="G46" s="5" t="s">
        <v>156</v>
      </c>
    </row>
    <row r="47" customFormat="false" ht="117.75" hidden="false" customHeight="true" outlineLevel="0" collapsed="false">
      <c r="A47" s="6" t="s">
        <v>353</v>
      </c>
      <c r="B47" s="6" t="s">
        <v>799</v>
      </c>
      <c r="C47" s="6" t="s">
        <v>800</v>
      </c>
      <c r="D47" s="6" t="s">
        <v>801</v>
      </c>
      <c r="E47" s="6" t="s">
        <v>802</v>
      </c>
      <c r="F47" s="6" t="s">
        <v>618</v>
      </c>
      <c r="G47" s="6" t="s">
        <v>156</v>
      </c>
    </row>
    <row r="48" customFormat="false" ht="117.75" hidden="false" customHeight="true" outlineLevel="0" collapsed="false">
      <c r="A48" s="5" t="s">
        <v>355</v>
      </c>
      <c r="B48" s="5" t="s">
        <v>803</v>
      </c>
      <c r="C48" s="5" t="s">
        <v>804</v>
      </c>
      <c r="D48" s="5" t="s">
        <v>805</v>
      </c>
      <c r="E48" s="5" t="s">
        <v>806</v>
      </c>
      <c r="F48" s="5" t="s">
        <v>618</v>
      </c>
      <c r="G48" s="5" t="s">
        <v>85</v>
      </c>
    </row>
    <row r="49" customFormat="false" ht="117.75" hidden="false" customHeight="true" outlineLevel="0" collapsed="false">
      <c r="A49" s="6" t="s">
        <v>359</v>
      </c>
      <c r="B49" s="6" t="s">
        <v>807</v>
      </c>
      <c r="C49" s="6" t="s">
        <v>808</v>
      </c>
      <c r="D49" s="6" t="s">
        <v>809</v>
      </c>
      <c r="E49" s="6" t="s">
        <v>810</v>
      </c>
      <c r="F49" s="6" t="s">
        <v>618</v>
      </c>
      <c r="G49" s="6" t="s">
        <v>85</v>
      </c>
    </row>
    <row r="50" customFormat="false" ht="117.75" hidden="false" customHeight="true" outlineLevel="0" collapsed="false">
      <c r="A50" s="5" t="s">
        <v>361</v>
      </c>
      <c r="B50" s="5" t="s">
        <v>811</v>
      </c>
      <c r="C50" s="5" t="s">
        <v>812</v>
      </c>
      <c r="D50" s="5" t="s">
        <v>813</v>
      </c>
      <c r="E50" s="5" t="s">
        <v>814</v>
      </c>
      <c r="F50" s="5" t="s">
        <v>618</v>
      </c>
      <c r="G50" s="5" t="s">
        <v>85</v>
      </c>
    </row>
    <row r="51" customFormat="false" ht="117.75" hidden="false" customHeight="true" outlineLevel="0" collapsed="false">
      <c r="A51" s="6" t="s">
        <v>363</v>
      </c>
      <c r="B51" s="6" t="s">
        <v>815</v>
      </c>
      <c r="C51" s="6" t="s">
        <v>816</v>
      </c>
      <c r="D51" s="6" t="s">
        <v>817</v>
      </c>
      <c r="E51" s="6" t="s">
        <v>818</v>
      </c>
      <c r="F51" s="6" t="s">
        <v>618</v>
      </c>
      <c r="G51" s="6" t="s">
        <v>85</v>
      </c>
    </row>
    <row r="52" customFormat="false" ht="117.75" hidden="false" customHeight="true" outlineLevel="0" collapsed="false">
      <c r="A52" s="5" t="s">
        <v>365</v>
      </c>
      <c r="B52" s="5" t="s">
        <v>819</v>
      </c>
      <c r="C52" s="5" t="s">
        <v>820</v>
      </c>
      <c r="D52" s="5" t="s">
        <v>821</v>
      </c>
      <c r="E52" s="5" t="s">
        <v>822</v>
      </c>
      <c r="F52" s="5" t="s">
        <v>618</v>
      </c>
      <c r="G52" s="5" t="s">
        <v>102</v>
      </c>
    </row>
    <row r="53" customFormat="false" ht="117.75" hidden="false" customHeight="true" outlineLevel="0" collapsed="false">
      <c r="A53" s="6" t="s">
        <v>368</v>
      </c>
      <c r="B53" s="6" t="s">
        <v>823</v>
      </c>
      <c r="C53" s="6" t="s">
        <v>824</v>
      </c>
      <c r="D53" s="6" t="s">
        <v>825</v>
      </c>
      <c r="E53" s="6" t="s">
        <v>826</v>
      </c>
      <c r="F53" s="6" t="s">
        <v>618</v>
      </c>
      <c r="G53" s="6" t="s">
        <v>102</v>
      </c>
    </row>
    <row r="54" customFormat="false" ht="117.75" hidden="false" customHeight="true" outlineLevel="0" collapsed="false">
      <c r="A54" s="5" t="s">
        <v>370</v>
      </c>
      <c r="B54" s="5" t="s">
        <v>827</v>
      </c>
      <c r="C54" s="5" t="s">
        <v>828</v>
      </c>
      <c r="D54" s="5" t="s">
        <v>829</v>
      </c>
      <c r="E54" s="5" t="s">
        <v>830</v>
      </c>
      <c r="F54" s="5" t="s">
        <v>618</v>
      </c>
      <c r="G54" s="5" t="s">
        <v>102</v>
      </c>
    </row>
    <row r="55" customFormat="false" ht="117.75" hidden="false" customHeight="true" outlineLevel="0" collapsed="false">
      <c r="A55" s="6" t="s">
        <v>372</v>
      </c>
      <c r="B55" s="6" t="s">
        <v>831</v>
      </c>
      <c r="C55" s="6" t="s">
        <v>832</v>
      </c>
      <c r="D55" s="6" t="s">
        <v>833</v>
      </c>
      <c r="E55" s="6" t="s">
        <v>834</v>
      </c>
      <c r="F55" s="6" t="s">
        <v>618</v>
      </c>
      <c r="G55" s="6" t="s">
        <v>161</v>
      </c>
    </row>
    <row r="56" customFormat="false" ht="117.75" hidden="false" customHeight="true" outlineLevel="0" collapsed="false">
      <c r="A56" s="5" t="s">
        <v>375</v>
      </c>
      <c r="B56" s="5" t="s">
        <v>835</v>
      </c>
      <c r="C56" s="5" t="s">
        <v>836</v>
      </c>
      <c r="D56" s="5" t="s">
        <v>837</v>
      </c>
      <c r="E56" s="5" t="s">
        <v>838</v>
      </c>
      <c r="F56" s="5" t="s">
        <v>618</v>
      </c>
      <c r="G56" s="5" t="s">
        <v>161</v>
      </c>
    </row>
    <row r="57" customFormat="false" ht="117.75" hidden="false" customHeight="true" outlineLevel="0" collapsed="false">
      <c r="A57" s="6" t="s">
        <v>377</v>
      </c>
      <c r="B57" s="6" t="s">
        <v>839</v>
      </c>
      <c r="C57" s="6" t="s">
        <v>840</v>
      </c>
      <c r="D57" s="6" t="s">
        <v>841</v>
      </c>
      <c r="E57" s="6" t="s">
        <v>842</v>
      </c>
      <c r="F57" s="6" t="s">
        <v>618</v>
      </c>
      <c r="G57" s="6" t="s">
        <v>161</v>
      </c>
    </row>
    <row r="58" customFormat="false" ht="117.75" hidden="false" customHeight="true" outlineLevel="0" collapsed="false">
      <c r="A58" s="5" t="s">
        <v>379</v>
      </c>
      <c r="B58" s="5" t="s">
        <v>843</v>
      </c>
      <c r="C58" s="5" t="s">
        <v>844</v>
      </c>
      <c r="D58" s="5" t="s">
        <v>845</v>
      </c>
      <c r="E58" s="5" t="s">
        <v>846</v>
      </c>
      <c r="F58" s="5" t="s">
        <v>618</v>
      </c>
      <c r="G58" s="5" t="s">
        <v>161</v>
      </c>
    </row>
    <row r="59" customFormat="false" ht="117.75" hidden="false" customHeight="true" outlineLevel="0" collapsed="false">
      <c r="A59" s="6" t="s">
        <v>381</v>
      </c>
      <c r="B59" s="6" t="s">
        <v>847</v>
      </c>
      <c r="C59" s="6" t="s">
        <v>848</v>
      </c>
      <c r="D59" s="6" t="s">
        <v>849</v>
      </c>
      <c r="E59" s="6" t="s">
        <v>850</v>
      </c>
      <c r="F59" s="6" t="s">
        <v>618</v>
      </c>
      <c r="G59" s="6" t="s">
        <v>139</v>
      </c>
    </row>
    <row r="60" customFormat="false" ht="117.75" hidden="false" customHeight="true" outlineLevel="0" collapsed="false">
      <c r="A60" s="5" t="s">
        <v>385</v>
      </c>
      <c r="B60" s="5" t="s">
        <v>851</v>
      </c>
      <c r="C60" s="5" t="s">
        <v>852</v>
      </c>
      <c r="D60" s="5" t="s">
        <v>853</v>
      </c>
      <c r="E60" s="5" t="s">
        <v>854</v>
      </c>
      <c r="F60" s="5" t="s">
        <v>618</v>
      </c>
      <c r="G60" s="5" t="s">
        <v>139</v>
      </c>
    </row>
    <row r="61" customFormat="false" ht="117.75" hidden="false" customHeight="true" outlineLevel="0" collapsed="false">
      <c r="A61" s="6" t="s">
        <v>387</v>
      </c>
      <c r="B61" s="6" t="s">
        <v>855</v>
      </c>
      <c r="C61" s="6" t="s">
        <v>856</v>
      </c>
      <c r="D61" s="6" t="s">
        <v>857</v>
      </c>
      <c r="E61" s="6" t="s">
        <v>858</v>
      </c>
      <c r="F61" s="6" t="s">
        <v>618</v>
      </c>
      <c r="G61" s="6" t="s">
        <v>139</v>
      </c>
    </row>
    <row r="62" customFormat="false" ht="117.75" hidden="false" customHeight="true" outlineLevel="0" collapsed="false">
      <c r="A62" s="5" t="s">
        <v>389</v>
      </c>
      <c r="B62" s="5" t="s">
        <v>859</v>
      </c>
      <c r="C62" s="5" t="s">
        <v>860</v>
      </c>
      <c r="D62" s="5" t="s">
        <v>861</v>
      </c>
      <c r="E62" s="5" t="s">
        <v>862</v>
      </c>
      <c r="F62" s="5" t="s">
        <v>618</v>
      </c>
      <c r="G62" s="5" t="s">
        <v>139</v>
      </c>
    </row>
    <row r="63" customFormat="false" ht="117.75" hidden="false" customHeight="true" outlineLevel="0" collapsed="false">
      <c r="A63" s="6" t="s">
        <v>392</v>
      </c>
      <c r="B63" s="6" t="s">
        <v>863</v>
      </c>
      <c r="C63" s="6" t="s">
        <v>864</v>
      </c>
      <c r="D63" s="6" t="s">
        <v>865</v>
      </c>
      <c r="E63" s="6" t="s">
        <v>866</v>
      </c>
      <c r="F63" s="6" t="s">
        <v>618</v>
      </c>
      <c r="G63" s="6" t="s">
        <v>152</v>
      </c>
    </row>
    <row r="64" customFormat="false" ht="117.75" hidden="false" customHeight="true" outlineLevel="0" collapsed="false">
      <c r="A64" s="5" t="s">
        <v>396</v>
      </c>
      <c r="B64" s="5" t="s">
        <v>867</v>
      </c>
      <c r="C64" s="5" t="s">
        <v>868</v>
      </c>
      <c r="D64" s="5" t="s">
        <v>869</v>
      </c>
      <c r="E64" s="5" t="s">
        <v>870</v>
      </c>
      <c r="F64" s="5" t="s">
        <v>618</v>
      </c>
      <c r="G64" s="5" t="s">
        <v>152</v>
      </c>
    </row>
    <row r="65" customFormat="false" ht="117.75" hidden="false" customHeight="true" outlineLevel="0" collapsed="false">
      <c r="A65" s="6" t="s">
        <v>398</v>
      </c>
      <c r="B65" s="6" t="s">
        <v>871</v>
      </c>
      <c r="C65" s="6" t="s">
        <v>872</v>
      </c>
      <c r="D65" s="6" t="s">
        <v>873</v>
      </c>
      <c r="E65" s="6" t="s">
        <v>874</v>
      </c>
      <c r="F65" s="6" t="s">
        <v>618</v>
      </c>
      <c r="G65" s="6" t="s">
        <v>152</v>
      </c>
    </row>
    <row r="66" customFormat="false" ht="117.75" hidden="false" customHeight="true" outlineLevel="0" collapsed="false">
      <c r="A66" s="5" t="s">
        <v>400</v>
      </c>
      <c r="B66" s="5" t="s">
        <v>875</v>
      </c>
      <c r="C66" s="5" t="s">
        <v>876</v>
      </c>
      <c r="D66" s="5" t="s">
        <v>877</v>
      </c>
      <c r="E66" s="5" t="s">
        <v>878</v>
      </c>
      <c r="F66" s="5" t="s">
        <v>618</v>
      </c>
      <c r="G66" s="5" t="s">
        <v>152</v>
      </c>
    </row>
    <row r="67" customFormat="false" ht="117.75" hidden="false" customHeight="true" outlineLevel="0" collapsed="false">
      <c r="A67" s="6" t="s">
        <v>402</v>
      </c>
      <c r="B67" s="6" t="s">
        <v>879</v>
      </c>
      <c r="C67" s="6" t="s">
        <v>880</v>
      </c>
      <c r="D67" s="6" t="s">
        <v>881</v>
      </c>
      <c r="E67" s="6" t="s">
        <v>882</v>
      </c>
      <c r="F67" s="6" t="s">
        <v>618</v>
      </c>
      <c r="G67" s="6" t="s">
        <v>152</v>
      </c>
    </row>
    <row r="68" customFormat="false" ht="117.75" hidden="false" customHeight="true" outlineLevel="0" collapsed="false">
      <c r="A68" s="5" t="s">
        <v>404</v>
      </c>
      <c r="B68" s="5" t="s">
        <v>883</v>
      </c>
      <c r="C68" s="5" t="s">
        <v>884</v>
      </c>
      <c r="D68" s="5" t="s">
        <v>885</v>
      </c>
      <c r="E68" s="5" t="s">
        <v>886</v>
      </c>
      <c r="F68" s="5" t="s">
        <v>618</v>
      </c>
      <c r="G68" s="5" t="s">
        <v>887</v>
      </c>
    </row>
    <row r="69" customFormat="false" ht="117.75" hidden="false" customHeight="true" outlineLevel="0" collapsed="false">
      <c r="A69" s="6" t="s">
        <v>407</v>
      </c>
      <c r="B69" s="6" t="s">
        <v>888</v>
      </c>
      <c r="C69" s="6" t="s">
        <v>889</v>
      </c>
      <c r="D69" s="6" t="s">
        <v>890</v>
      </c>
      <c r="E69" s="6" t="s">
        <v>891</v>
      </c>
      <c r="F69" s="6" t="s">
        <v>618</v>
      </c>
      <c r="G69" s="6" t="s">
        <v>121</v>
      </c>
    </row>
    <row r="70" customFormat="false" ht="117.75" hidden="false" customHeight="true" outlineLevel="0" collapsed="false">
      <c r="A70" s="5" t="s">
        <v>410</v>
      </c>
      <c r="B70" s="5" t="s">
        <v>892</v>
      </c>
      <c r="C70" s="5" t="s">
        <v>893</v>
      </c>
      <c r="D70" s="5" t="s">
        <v>894</v>
      </c>
      <c r="E70" s="5" t="s">
        <v>895</v>
      </c>
      <c r="F70" s="5" t="s">
        <v>618</v>
      </c>
      <c r="G70" s="5" t="s">
        <v>121</v>
      </c>
    </row>
    <row r="71" customFormat="false" ht="117.75" hidden="false" customHeight="true" outlineLevel="0" collapsed="false">
      <c r="A71" s="6" t="s">
        <v>412</v>
      </c>
      <c r="B71" s="6" t="s">
        <v>896</v>
      </c>
      <c r="C71" s="6" t="s">
        <v>897</v>
      </c>
      <c r="D71" s="6" t="s">
        <v>898</v>
      </c>
      <c r="E71" s="6" t="s">
        <v>899</v>
      </c>
      <c r="F71" s="6" t="s">
        <v>618</v>
      </c>
      <c r="G71" s="6" t="s">
        <v>121</v>
      </c>
    </row>
    <row r="72" customFormat="false" ht="117.75" hidden="false" customHeight="true" outlineLevel="0" collapsed="false">
      <c r="A72" s="5" t="s">
        <v>414</v>
      </c>
      <c r="B72" s="5" t="s">
        <v>900</v>
      </c>
      <c r="C72" s="5" t="s">
        <v>901</v>
      </c>
      <c r="D72" s="5" t="s">
        <v>902</v>
      </c>
      <c r="E72" s="5" t="s">
        <v>903</v>
      </c>
      <c r="F72" s="5" t="s">
        <v>618</v>
      </c>
      <c r="G72" s="5" t="s">
        <v>165</v>
      </c>
    </row>
    <row r="73" customFormat="false" ht="117.75" hidden="false" customHeight="true" outlineLevel="0" collapsed="false">
      <c r="A73" s="6" t="s">
        <v>417</v>
      </c>
      <c r="B73" s="6" t="s">
        <v>904</v>
      </c>
      <c r="C73" s="6" t="s">
        <v>905</v>
      </c>
      <c r="D73" s="6" t="s">
        <v>906</v>
      </c>
      <c r="E73" s="6" t="s">
        <v>907</v>
      </c>
      <c r="F73" s="6" t="s">
        <v>618</v>
      </c>
      <c r="G73" s="6" t="s">
        <v>165</v>
      </c>
    </row>
    <row r="74" customFormat="false" ht="117.75" hidden="false" customHeight="true" outlineLevel="0" collapsed="false">
      <c r="A74" s="5" t="s">
        <v>419</v>
      </c>
      <c r="B74" s="5" t="s">
        <v>908</v>
      </c>
      <c r="C74" s="5" t="s">
        <v>909</v>
      </c>
      <c r="D74" s="5" t="s">
        <v>910</v>
      </c>
      <c r="E74" s="5" t="s">
        <v>911</v>
      </c>
      <c r="F74" s="5" t="s">
        <v>618</v>
      </c>
      <c r="G74" s="5" t="s">
        <v>165</v>
      </c>
    </row>
    <row r="75" customFormat="false" ht="117.75" hidden="false" customHeight="true" outlineLevel="0" collapsed="false">
      <c r="A75" s="6" t="s">
        <v>421</v>
      </c>
      <c r="B75" s="6" t="s">
        <v>912</v>
      </c>
      <c r="C75" s="6" t="s">
        <v>913</v>
      </c>
      <c r="D75" s="6" t="s">
        <v>914</v>
      </c>
      <c r="E75" s="6" t="s">
        <v>915</v>
      </c>
      <c r="F75" s="6" t="s">
        <v>618</v>
      </c>
      <c r="G75" s="6" t="s">
        <v>49</v>
      </c>
    </row>
    <row r="76" customFormat="false" ht="117.75" hidden="false" customHeight="true" outlineLevel="0" collapsed="false">
      <c r="A76" s="5" t="s">
        <v>426</v>
      </c>
      <c r="B76" s="5" t="s">
        <v>916</v>
      </c>
      <c r="C76" s="5" t="s">
        <v>917</v>
      </c>
      <c r="D76" s="5" t="s">
        <v>918</v>
      </c>
      <c r="E76" s="5" t="s">
        <v>919</v>
      </c>
      <c r="F76" s="5" t="s">
        <v>618</v>
      </c>
      <c r="G76" s="5" t="s">
        <v>49</v>
      </c>
    </row>
    <row r="77" customFormat="false" ht="117.75" hidden="false" customHeight="true" outlineLevel="0" collapsed="false">
      <c r="A77" s="6" t="s">
        <v>430</v>
      </c>
      <c r="B77" s="6" t="s">
        <v>920</v>
      </c>
      <c r="C77" s="6" t="s">
        <v>921</v>
      </c>
      <c r="D77" s="6" t="s">
        <v>922</v>
      </c>
      <c r="E77" s="6" t="s">
        <v>923</v>
      </c>
      <c r="F77" s="6" t="s">
        <v>618</v>
      </c>
      <c r="G77" s="6" t="s">
        <v>49</v>
      </c>
    </row>
    <row r="78" customFormat="false" ht="117.75" hidden="false" customHeight="true" outlineLevel="0" collapsed="false">
      <c r="A78" s="5" t="s">
        <v>433</v>
      </c>
      <c r="B78" s="5" t="s">
        <v>924</v>
      </c>
      <c r="C78" s="5" t="s">
        <v>925</v>
      </c>
      <c r="D78" s="5" t="s">
        <v>926</v>
      </c>
      <c r="E78" s="5" t="s">
        <v>927</v>
      </c>
      <c r="F78" s="5" t="s">
        <v>618</v>
      </c>
      <c r="G78" s="5" t="s">
        <v>49</v>
      </c>
    </row>
    <row r="79" customFormat="false" ht="117.75" hidden="false" customHeight="true" outlineLevel="0" collapsed="false">
      <c r="A79" s="6" t="s">
        <v>436</v>
      </c>
      <c r="B79" s="6" t="s">
        <v>928</v>
      </c>
      <c r="C79" s="6" t="s">
        <v>929</v>
      </c>
      <c r="D79" s="6" t="s">
        <v>930</v>
      </c>
      <c r="E79" s="6" t="s">
        <v>931</v>
      </c>
      <c r="F79" s="6" t="s">
        <v>618</v>
      </c>
      <c r="G79" s="6" t="s">
        <v>49</v>
      </c>
    </row>
    <row r="80" customFormat="false" ht="117.75" hidden="false" customHeight="true" outlineLevel="0" collapsed="false">
      <c r="A80" s="5" t="s">
        <v>439</v>
      </c>
      <c r="B80" s="5" t="s">
        <v>932</v>
      </c>
      <c r="C80" s="5" t="s">
        <v>933</v>
      </c>
      <c r="D80" s="5" t="s">
        <v>934</v>
      </c>
      <c r="E80" s="5" t="s">
        <v>935</v>
      </c>
      <c r="F80" s="5" t="s">
        <v>618</v>
      </c>
      <c r="G80" s="5" t="s">
        <v>106</v>
      </c>
    </row>
    <row r="81" customFormat="false" ht="117.75" hidden="false" customHeight="true" outlineLevel="0" collapsed="false">
      <c r="A81" s="6" t="s">
        <v>442</v>
      </c>
      <c r="B81" s="6" t="s">
        <v>936</v>
      </c>
      <c r="C81" s="6" t="s">
        <v>937</v>
      </c>
      <c r="D81" s="6" t="s">
        <v>938</v>
      </c>
      <c r="E81" s="6" t="s">
        <v>939</v>
      </c>
      <c r="F81" s="6" t="s">
        <v>618</v>
      </c>
      <c r="G81" s="6" t="s">
        <v>106</v>
      </c>
    </row>
    <row r="82" customFormat="false" ht="117.75" hidden="false" customHeight="true" outlineLevel="0" collapsed="false">
      <c r="A82" s="5" t="s">
        <v>444</v>
      </c>
      <c r="B82" s="5" t="s">
        <v>940</v>
      </c>
      <c r="C82" s="5" t="s">
        <v>941</v>
      </c>
      <c r="D82" s="5" t="s">
        <v>942</v>
      </c>
      <c r="E82" s="5" t="s">
        <v>943</v>
      </c>
      <c r="F82" s="5" t="s">
        <v>618</v>
      </c>
      <c r="G82" s="5" t="s">
        <v>106</v>
      </c>
    </row>
    <row r="83" customFormat="false" ht="117.75" hidden="false" customHeight="true" outlineLevel="0" collapsed="false">
      <c r="A83" s="6" t="s">
        <v>446</v>
      </c>
      <c r="B83" s="6" t="s">
        <v>944</v>
      </c>
      <c r="C83" s="6" t="s">
        <v>945</v>
      </c>
      <c r="D83" s="6" t="s">
        <v>946</v>
      </c>
      <c r="E83" s="6" t="s">
        <v>947</v>
      </c>
      <c r="F83" s="6" t="s">
        <v>618</v>
      </c>
      <c r="G83" s="6" t="s">
        <v>110</v>
      </c>
    </row>
    <row r="84" customFormat="false" ht="117.75" hidden="false" customHeight="true" outlineLevel="0" collapsed="false">
      <c r="A84" s="5" t="s">
        <v>449</v>
      </c>
      <c r="B84" s="5" t="s">
        <v>948</v>
      </c>
      <c r="C84" s="5" t="s">
        <v>949</v>
      </c>
      <c r="D84" s="5" t="s">
        <v>950</v>
      </c>
      <c r="E84" s="5" t="s">
        <v>951</v>
      </c>
      <c r="F84" s="5" t="s">
        <v>618</v>
      </c>
      <c r="G84" s="5" t="s">
        <v>110</v>
      </c>
    </row>
    <row r="85" customFormat="false" ht="117.75" hidden="false" customHeight="true" outlineLevel="0" collapsed="false">
      <c r="A85" s="6" t="s">
        <v>452</v>
      </c>
      <c r="B85" s="6" t="s">
        <v>952</v>
      </c>
      <c r="C85" s="6" t="s">
        <v>953</v>
      </c>
      <c r="D85" s="6" t="s">
        <v>954</v>
      </c>
      <c r="E85" s="6" t="s">
        <v>955</v>
      </c>
      <c r="F85" s="6" t="s">
        <v>618</v>
      </c>
      <c r="G85" s="6" t="s">
        <v>110</v>
      </c>
    </row>
    <row r="86" customFormat="false" ht="117.75" hidden="false" customHeight="true" outlineLevel="0" collapsed="false">
      <c r="A86" s="5" t="s">
        <v>454</v>
      </c>
      <c r="B86" s="5" t="s">
        <v>956</v>
      </c>
      <c r="C86" s="5" t="s">
        <v>957</v>
      </c>
      <c r="D86" s="5" t="s">
        <v>958</v>
      </c>
      <c r="E86" s="5" t="s">
        <v>959</v>
      </c>
      <c r="F86" s="5" t="s">
        <v>618</v>
      </c>
      <c r="G86" s="5" t="s">
        <v>115</v>
      </c>
    </row>
    <row r="87" customFormat="false" ht="117.75" hidden="false" customHeight="true" outlineLevel="0" collapsed="false">
      <c r="A87" s="6" t="s">
        <v>459</v>
      </c>
      <c r="B87" s="6" t="s">
        <v>960</v>
      </c>
      <c r="C87" s="6" t="s">
        <v>961</v>
      </c>
      <c r="D87" s="6" t="s">
        <v>962</v>
      </c>
      <c r="E87" s="6" t="s">
        <v>963</v>
      </c>
      <c r="F87" s="6" t="s">
        <v>618</v>
      </c>
      <c r="G87" s="6" t="s">
        <v>115</v>
      </c>
    </row>
    <row r="88" customFormat="false" ht="117.75" hidden="false" customHeight="true" outlineLevel="0" collapsed="false">
      <c r="A88" s="5" t="s">
        <v>461</v>
      </c>
      <c r="B88" s="5" t="s">
        <v>964</v>
      </c>
      <c r="C88" s="5" t="s">
        <v>965</v>
      </c>
      <c r="D88" s="5" t="s">
        <v>966</v>
      </c>
      <c r="E88" s="5" t="s">
        <v>967</v>
      </c>
      <c r="F88" s="5" t="s">
        <v>618</v>
      </c>
      <c r="G88" s="5" t="s">
        <v>115</v>
      </c>
    </row>
    <row r="89" customFormat="false" ht="117.75" hidden="false" customHeight="true" outlineLevel="0" collapsed="false">
      <c r="A89" s="6" t="s">
        <v>463</v>
      </c>
      <c r="B89" s="6" t="s">
        <v>968</v>
      </c>
      <c r="C89" s="6" t="s">
        <v>969</v>
      </c>
      <c r="D89" s="6" t="s">
        <v>970</v>
      </c>
      <c r="E89" s="6" t="s">
        <v>971</v>
      </c>
      <c r="F89" s="6" t="s">
        <v>618</v>
      </c>
      <c r="G89" s="6" t="s">
        <v>115</v>
      </c>
    </row>
    <row r="90" customFormat="false" ht="117.75" hidden="false" customHeight="true" outlineLevel="0" collapsed="false">
      <c r="A90" s="5" t="s">
        <v>465</v>
      </c>
      <c r="B90" s="5" t="s">
        <v>972</v>
      </c>
      <c r="C90" s="5" t="s">
        <v>973</v>
      </c>
      <c r="D90" s="5" t="s">
        <v>974</v>
      </c>
      <c r="E90" s="5" t="s">
        <v>975</v>
      </c>
      <c r="F90" s="5" t="s">
        <v>618</v>
      </c>
      <c r="G90" s="5" t="s">
        <v>148</v>
      </c>
    </row>
    <row r="91" customFormat="false" ht="117.75" hidden="false" customHeight="true" outlineLevel="0" collapsed="false">
      <c r="A91" s="6" t="s">
        <v>468</v>
      </c>
      <c r="B91" s="6" t="s">
        <v>976</v>
      </c>
      <c r="C91" s="6" t="s">
        <v>977</v>
      </c>
      <c r="D91" s="6" t="s">
        <v>978</v>
      </c>
      <c r="E91" s="6" t="s">
        <v>979</v>
      </c>
      <c r="F91" s="6" t="s">
        <v>618</v>
      </c>
      <c r="G91" s="6" t="s">
        <v>148</v>
      </c>
    </row>
    <row r="92" customFormat="false" ht="117.75" hidden="false" customHeight="true" outlineLevel="0" collapsed="false">
      <c r="A92" s="5" t="s">
        <v>470</v>
      </c>
      <c r="B92" s="5" t="s">
        <v>980</v>
      </c>
      <c r="C92" s="5" t="s">
        <v>981</v>
      </c>
      <c r="D92" s="5" t="s">
        <v>982</v>
      </c>
      <c r="E92" s="5" t="s">
        <v>983</v>
      </c>
      <c r="F92" s="5" t="s">
        <v>618</v>
      </c>
      <c r="G92" s="5" t="s">
        <v>148</v>
      </c>
    </row>
    <row r="93" customFormat="false" ht="117.75" hidden="false" customHeight="true" outlineLevel="0" collapsed="false">
      <c r="A93" s="6" t="s">
        <v>472</v>
      </c>
      <c r="B93" s="6" t="s">
        <v>984</v>
      </c>
      <c r="C93" s="6" t="s">
        <v>985</v>
      </c>
      <c r="D93" s="6" t="s">
        <v>986</v>
      </c>
      <c r="E93" s="6" t="s">
        <v>987</v>
      </c>
      <c r="F93" s="6" t="s">
        <v>618</v>
      </c>
      <c r="G93" s="6" t="s">
        <v>80</v>
      </c>
    </row>
    <row r="94" customFormat="false" ht="117.75" hidden="false" customHeight="true" outlineLevel="0" collapsed="false">
      <c r="A94" s="5" t="s">
        <v>476</v>
      </c>
      <c r="B94" s="5" t="s">
        <v>988</v>
      </c>
      <c r="C94" s="5" t="s">
        <v>989</v>
      </c>
      <c r="D94" s="5" t="s">
        <v>990</v>
      </c>
      <c r="E94" s="5" t="s">
        <v>991</v>
      </c>
      <c r="F94" s="5" t="s">
        <v>618</v>
      </c>
      <c r="G94" s="5" t="s">
        <v>80</v>
      </c>
    </row>
    <row r="95" customFormat="false" ht="117.75" hidden="false" customHeight="true" outlineLevel="0" collapsed="false">
      <c r="A95" s="6" t="s">
        <v>478</v>
      </c>
      <c r="B95" s="6" t="s">
        <v>992</v>
      </c>
      <c r="C95" s="6" t="s">
        <v>993</v>
      </c>
      <c r="D95" s="6" t="s">
        <v>994</v>
      </c>
      <c r="E95" s="6" t="s">
        <v>995</v>
      </c>
      <c r="F95" s="6" t="s">
        <v>618</v>
      </c>
      <c r="G95" s="6" t="s">
        <v>80</v>
      </c>
    </row>
    <row r="96" customFormat="false" ht="117.75" hidden="false" customHeight="true" outlineLevel="0" collapsed="false">
      <c r="A96" s="5" t="s">
        <v>480</v>
      </c>
      <c r="B96" s="5" t="s">
        <v>996</v>
      </c>
      <c r="C96" s="5" t="s">
        <v>997</v>
      </c>
      <c r="D96" s="5" t="s">
        <v>998</v>
      </c>
      <c r="E96" s="5" t="s">
        <v>999</v>
      </c>
      <c r="F96" s="5" t="s">
        <v>618</v>
      </c>
      <c r="G96" s="5" t="s">
        <v>80</v>
      </c>
    </row>
    <row r="97" customFormat="false" ht="117.75" hidden="false" customHeight="true" outlineLevel="0" collapsed="false">
      <c r="A97" s="6" t="s">
        <v>483</v>
      </c>
      <c r="B97" s="6" t="s">
        <v>1000</v>
      </c>
      <c r="C97" s="6" t="s">
        <v>1001</v>
      </c>
      <c r="D97" s="6" t="s">
        <v>1002</v>
      </c>
      <c r="E97" s="6" t="s">
        <v>1003</v>
      </c>
      <c r="F97" s="6" t="s">
        <v>618</v>
      </c>
      <c r="G97" s="6" t="s">
        <v>80</v>
      </c>
    </row>
    <row r="98" customFormat="false" ht="117.75" hidden="false" customHeight="true" outlineLevel="0" collapsed="false">
      <c r="A98" s="5" t="s">
        <v>487</v>
      </c>
      <c r="B98" s="5" t="s">
        <v>1004</v>
      </c>
      <c r="C98" s="5" t="s">
        <v>1005</v>
      </c>
      <c r="D98" s="5" t="s">
        <v>1006</v>
      </c>
      <c r="E98" s="5" t="s">
        <v>1007</v>
      </c>
      <c r="F98" s="5" t="s">
        <v>618</v>
      </c>
      <c r="G98" s="5" t="s">
        <v>57</v>
      </c>
    </row>
    <row r="99" customFormat="false" ht="117.75" hidden="false" customHeight="true" outlineLevel="0" collapsed="false">
      <c r="A99" s="6" t="s">
        <v>491</v>
      </c>
      <c r="B99" s="6" t="s">
        <v>1008</v>
      </c>
      <c r="C99" s="6" t="s">
        <v>1009</v>
      </c>
      <c r="D99" s="6" t="s">
        <v>1010</v>
      </c>
      <c r="E99" s="6" t="s">
        <v>1011</v>
      </c>
      <c r="F99" s="6" t="s">
        <v>618</v>
      </c>
      <c r="G99" s="6" t="s">
        <v>57</v>
      </c>
    </row>
    <row r="100" customFormat="false" ht="117.75" hidden="false" customHeight="true" outlineLevel="0" collapsed="false">
      <c r="A100" s="5" t="s">
        <v>493</v>
      </c>
      <c r="B100" s="5" t="s">
        <v>1012</v>
      </c>
      <c r="C100" s="5" t="s">
        <v>1013</v>
      </c>
      <c r="D100" s="5" t="s">
        <v>1014</v>
      </c>
      <c r="E100" s="5" t="s">
        <v>1015</v>
      </c>
      <c r="F100" s="5" t="s">
        <v>618</v>
      </c>
      <c r="G100" s="5" t="s">
        <v>57</v>
      </c>
    </row>
    <row r="101" customFormat="false" ht="117.75" hidden="false" customHeight="true" outlineLevel="0" collapsed="false">
      <c r="A101" s="6" t="s">
        <v>495</v>
      </c>
      <c r="B101" s="6" t="s">
        <v>1016</v>
      </c>
      <c r="C101" s="6" t="s">
        <v>1017</v>
      </c>
      <c r="D101" s="6" t="s">
        <v>1018</v>
      </c>
      <c r="E101" s="6" t="s">
        <v>1019</v>
      </c>
      <c r="F101" s="6" t="s">
        <v>618</v>
      </c>
      <c r="G101" s="6" t="s">
        <v>64</v>
      </c>
    </row>
    <row r="102" customFormat="false" ht="117.75" hidden="false" customHeight="true" outlineLevel="0" collapsed="false">
      <c r="A102" s="5" t="s">
        <v>498</v>
      </c>
      <c r="B102" s="5" t="s">
        <v>1020</v>
      </c>
      <c r="C102" s="5" t="s">
        <v>1021</v>
      </c>
      <c r="D102" s="5" t="s">
        <v>1022</v>
      </c>
      <c r="E102" s="5" t="s">
        <v>1023</v>
      </c>
      <c r="F102" s="5" t="s">
        <v>618</v>
      </c>
      <c r="G102" s="5" t="s">
        <v>64</v>
      </c>
    </row>
    <row r="103" customFormat="false" ht="117.75" hidden="false" customHeight="true" outlineLevel="0" collapsed="false">
      <c r="A103" s="6" t="s">
        <v>500</v>
      </c>
      <c r="B103" s="6" t="s">
        <v>1024</v>
      </c>
      <c r="C103" s="6" t="s">
        <v>1025</v>
      </c>
      <c r="D103" s="6" t="s">
        <v>1026</v>
      </c>
      <c r="E103" s="6" t="s">
        <v>1027</v>
      </c>
      <c r="F103" s="6" t="s">
        <v>618</v>
      </c>
      <c r="G103" s="6" t="s">
        <v>64</v>
      </c>
    </row>
    <row r="104" customFormat="false" ht="117.75" hidden="false" customHeight="true" outlineLevel="0" collapsed="false">
      <c r="A104" s="5" t="s">
        <v>502</v>
      </c>
      <c r="B104" s="5" t="s">
        <v>1028</v>
      </c>
      <c r="C104" s="5" t="s">
        <v>1029</v>
      </c>
      <c r="D104" s="5" t="s">
        <v>1030</v>
      </c>
      <c r="E104" s="5" t="s">
        <v>1031</v>
      </c>
      <c r="F104" s="5" t="s">
        <v>618</v>
      </c>
      <c r="G104" s="5" t="s">
        <v>64</v>
      </c>
    </row>
    <row r="105" customFormat="false" ht="117.75" hidden="false" customHeight="true" outlineLevel="0" collapsed="false">
      <c r="A105" s="6" t="s">
        <v>504</v>
      </c>
      <c r="B105" s="6" t="s">
        <v>1032</v>
      </c>
      <c r="C105" s="6" t="s">
        <v>1033</v>
      </c>
      <c r="D105" s="6" t="s">
        <v>1034</v>
      </c>
      <c r="E105" s="6" t="s">
        <v>1035</v>
      </c>
      <c r="F105" s="6" t="s">
        <v>618</v>
      </c>
      <c r="G105" s="6" t="s">
        <v>89</v>
      </c>
    </row>
    <row r="106" customFormat="false" ht="117.75" hidden="false" customHeight="true" outlineLevel="0" collapsed="false">
      <c r="A106" s="5" t="s">
        <v>508</v>
      </c>
      <c r="B106" s="5" t="s">
        <v>1036</v>
      </c>
      <c r="C106" s="5" t="s">
        <v>1037</v>
      </c>
      <c r="D106" s="5" t="s">
        <v>1038</v>
      </c>
      <c r="E106" s="5" t="s">
        <v>1039</v>
      </c>
      <c r="F106" s="5" t="s">
        <v>618</v>
      </c>
      <c r="G106" s="5" t="s">
        <v>89</v>
      </c>
    </row>
    <row r="107" customFormat="false" ht="117.75" hidden="false" customHeight="true" outlineLevel="0" collapsed="false">
      <c r="A107" s="6" t="s">
        <v>511</v>
      </c>
      <c r="B107" s="6" t="s">
        <v>1040</v>
      </c>
      <c r="C107" s="6" t="s">
        <v>1041</v>
      </c>
      <c r="D107" s="6" t="s">
        <v>1042</v>
      </c>
      <c r="E107" s="6" t="s">
        <v>1043</v>
      </c>
      <c r="F107" s="6" t="s">
        <v>618</v>
      </c>
      <c r="G107" s="6" t="s">
        <v>89</v>
      </c>
    </row>
    <row r="108" customFormat="false" ht="117.75" hidden="false" customHeight="true" outlineLevel="0" collapsed="false">
      <c r="A108" s="5" t="s">
        <v>514</v>
      </c>
      <c r="B108" s="5" t="s">
        <v>1044</v>
      </c>
      <c r="C108" s="5" t="s">
        <v>1045</v>
      </c>
      <c r="D108" s="5" t="s">
        <v>1046</v>
      </c>
      <c r="E108" s="5" t="s">
        <v>1047</v>
      </c>
      <c r="F108" s="5" t="s">
        <v>618</v>
      </c>
      <c r="G108" s="5" t="s">
        <v>134</v>
      </c>
    </row>
    <row r="109" customFormat="false" ht="117.75" hidden="false" customHeight="true" outlineLevel="0" collapsed="false">
      <c r="A109" s="6" t="s">
        <v>517</v>
      </c>
      <c r="B109" s="6" t="s">
        <v>1048</v>
      </c>
      <c r="C109" s="6" t="s">
        <v>1049</v>
      </c>
      <c r="D109" s="6" t="s">
        <v>1050</v>
      </c>
      <c r="E109" s="6" t="s">
        <v>1051</v>
      </c>
      <c r="F109" s="6" t="s">
        <v>618</v>
      </c>
      <c r="G109" s="6" t="s">
        <v>134</v>
      </c>
    </row>
    <row r="110" customFormat="false" ht="117.75" hidden="false" customHeight="true" outlineLevel="0" collapsed="false">
      <c r="A110" s="5" t="s">
        <v>519</v>
      </c>
      <c r="B110" s="5" t="s">
        <v>1052</v>
      </c>
      <c r="C110" s="5" t="s">
        <v>1053</v>
      </c>
      <c r="D110" s="5" t="s">
        <v>1054</v>
      </c>
      <c r="E110" s="5" t="s">
        <v>1055</v>
      </c>
      <c r="F110" s="5" t="s">
        <v>618</v>
      </c>
      <c r="G110" s="5" t="s">
        <v>134</v>
      </c>
    </row>
    <row r="111" customFormat="false" ht="117.75" hidden="false" customHeight="true" outlineLevel="0" collapsed="false">
      <c r="A111" s="6" t="s">
        <v>521</v>
      </c>
      <c r="B111" s="6" t="s">
        <v>1056</v>
      </c>
      <c r="C111" s="6" t="s">
        <v>1057</v>
      </c>
      <c r="D111" s="6" t="s">
        <v>1058</v>
      </c>
      <c r="E111" s="6" t="s">
        <v>1059</v>
      </c>
      <c r="F111" s="6" t="s">
        <v>618</v>
      </c>
      <c r="G111" s="6" t="s">
        <v>144</v>
      </c>
    </row>
    <row r="112" customFormat="false" ht="117.75" hidden="false" customHeight="true" outlineLevel="0" collapsed="false">
      <c r="A112" s="5" t="s">
        <v>524</v>
      </c>
      <c r="B112" s="5" t="s">
        <v>1060</v>
      </c>
      <c r="C112" s="5" t="s">
        <v>1061</v>
      </c>
      <c r="D112" s="5" t="s">
        <v>1062</v>
      </c>
      <c r="E112" s="5" t="s">
        <v>1063</v>
      </c>
      <c r="F112" s="5" t="s">
        <v>618</v>
      </c>
      <c r="G112" s="5" t="s">
        <v>144</v>
      </c>
    </row>
    <row r="113" customFormat="false" ht="117.75" hidden="false" customHeight="true" outlineLevel="0" collapsed="false">
      <c r="A113" s="6" t="s">
        <v>526</v>
      </c>
      <c r="B113" s="6" t="s">
        <v>1064</v>
      </c>
      <c r="C113" s="6" t="s">
        <v>1065</v>
      </c>
      <c r="D113" s="6" t="s">
        <v>1066</v>
      </c>
      <c r="E113" s="6" t="s">
        <v>1067</v>
      </c>
      <c r="F113" s="6" t="s">
        <v>618</v>
      </c>
      <c r="G113" s="6" t="s">
        <v>144</v>
      </c>
    </row>
    <row r="114" customFormat="false" ht="117.75" hidden="false" customHeight="true" outlineLevel="0" collapsed="false">
      <c r="A114" s="5" t="s">
        <v>528</v>
      </c>
      <c r="B114" s="5" t="s">
        <v>1068</v>
      </c>
      <c r="C114" s="5" t="s">
        <v>1069</v>
      </c>
      <c r="D114" s="5" t="s">
        <v>1070</v>
      </c>
      <c r="E114" s="5" t="s">
        <v>1071</v>
      </c>
      <c r="F114" s="5" t="s">
        <v>618</v>
      </c>
      <c r="G114" s="5" t="s">
        <v>144</v>
      </c>
    </row>
    <row r="115" customFormat="false" ht="117.75" hidden="false" customHeight="true" outlineLevel="0" collapsed="false">
      <c r="A115" s="6" t="s">
        <v>530</v>
      </c>
      <c r="B115" s="6" t="s">
        <v>1072</v>
      </c>
      <c r="C115" s="6" t="s">
        <v>1073</v>
      </c>
      <c r="D115" s="6" t="s">
        <v>1074</v>
      </c>
      <c r="E115" s="6" t="s">
        <v>1075</v>
      </c>
      <c r="F115" s="6" t="s">
        <v>618</v>
      </c>
      <c r="G115" s="6" t="s">
        <v>125</v>
      </c>
    </row>
    <row r="116" customFormat="false" ht="117.75" hidden="false" customHeight="true" outlineLevel="0" collapsed="false">
      <c r="A116" s="5" t="s">
        <v>534</v>
      </c>
      <c r="B116" s="5" t="s">
        <v>1076</v>
      </c>
      <c r="C116" s="5" t="s">
        <v>1077</v>
      </c>
      <c r="D116" s="5" t="s">
        <v>1078</v>
      </c>
      <c r="E116" s="5" t="s">
        <v>1079</v>
      </c>
      <c r="F116" s="5" t="s">
        <v>618</v>
      </c>
      <c r="G116" s="5" t="s">
        <v>125</v>
      </c>
    </row>
    <row r="117" customFormat="false" ht="117.75" hidden="false" customHeight="true" outlineLevel="0" collapsed="false">
      <c r="A117" s="6" t="s">
        <v>536</v>
      </c>
      <c r="B117" s="6" t="s">
        <v>1080</v>
      </c>
      <c r="C117" s="6" t="s">
        <v>1081</v>
      </c>
      <c r="D117" s="6" t="s">
        <v>1082</v>
      </c>
      <c r="E117" s="6" t="s">
        <v>1083</v>
      </c>
      <c r="F117" s="6" t="s">
        <v>618</v>
      </c>
      <c r="G117" s="6" t="s">
        <v>125</v>
      </c>
    </row>
    <row r="118" customFormat="false" ht="117.75" hidden="false" customHeight="true" outlineLevel="0" collapsed="false">
      <c r="A118" s="5" t="s">
        <v>538</v>
      </c>
      <c r="B118" s="5" t="s">
        <v>1084</v>
      </c>
      <c r="C118" s="5" t="s">
        <v>1085</v>
      </c>
      <c r="D118" s="5" t="s">
        <v>1086</v>
      </c>
      <c r="E118" s="5" t="s">
        <v>1087</v>
      </c>
      <c r="F118" s="5" t="s">
        <v>618</v>
      </c>
      <c r="G118" s="5" t="s">
        <v>186</v>
      </c>
    </row>
    <row r="119" customFormat="false" ht="117.75" hidden="false" customHeight="true" outlineLevel="0" collapsed="false">
      <c r="A119" s="6" t="s">
        <v>542</v>
      </c>
      <c r="B119" s="6" t="s">
        <v>1088</v>
      </c>
      <c r="C119" s="6" t="s">
        <v>1089</v>
      </c>
      <c r="D119" s="6" t="s">
        <v>1090</v>
      </c>
      <c r="E119" s="6" t="s">
        <v>1091</v>
      </c>
      <c r="F119" s="6" t="s">
        <v>618</v>
      </c>
      <c r="G119" s="6" t="s">
        <v>186</v>
      </c>
    </row>
    <row r="120" customFormat="false" ht="117.75" hidden="false" customHeight="true" outlineLevel="0" collapsed="false">
      <c r="A120" s="5" t="s">
        <v>544</v>
      </c>
      <c r="B120" s="5" t="s">
        <v>1092</v>
      </c>
      <c r="C120" s="5" t="s">
        <v>1093</v>
      </c>
      <c r="D120" s="5" t="s">
        <v>1094</v>
      </c>
      <c r="E120" s="5" t="s">
        <v>1095</v>
      </c>
      <c r="F120" s="5" t="s">
        <v>618</v>
      </c>
      <c r="G120" s="5" t="s">
        <v>186</v>
      </c>
    </row>
    <row r="121" customFormat="false" ht="117.75" hidden="false" customHeight="true" outlineLevel="0" collapsed="false">
      <c r="A121" s="6" t="s">
        <v>547</v>
      </c>
      <c r="B121" s="6" t="s">
        <v>1096</v>
      </c>
      <c r="C121" s="6" t="s">
        <v>1097</v>
      </c>
      <c r="D121" s="6" t="s">
        <v>1098</v>
      </c>
      <c r="E121" s="6" t="s">
        <v>1099</v>
      </c>
      <c r="F121" s="6" t="s">
        <v>618</v>
      </c>
      <c r="G121" s="6" t="s">
        <v>191</v>
      </c>
    </row>
    <row r="122" customFormat="false" ht="117.75" hidden="false" customHeight="true" outlineLevel="0" collapsed="false">
      <c r="A122" s="5" t="s">
        <v>550</v>
      </c>
      <c r="B122" s="5" t="s">
        <v>1100</v>
      </c>
      <c r="C122" s="5" t="s">
        <v>1101</v>
      </c>
      <c r="D122" s="5" t="s">
        <v>1102</v>
      </c>
      <c r="E122" s="5" t="s">
        <v>1103</v>
      </c>
      <c r="F122" s="5" t="s">
        <v>618</v>
      </c>
      <c r="G122" s="5" t="s">
        <v>191</v>
      </c>
    </row>
    <row r="123" customFormat="false" ht="117.75" hidden="false" customHeight="true" outlineLevel="0" collapsed="false">
      <c r="A123" s="6" t="s">
        <v>552</v>
      </c>
      <c r="B123" s="6" t="s">
        <v>1104</v>
      </c>
      <c r="C123" s="6" t="s">
        <v>1105</v>
      </c>
      <c r="D123" s="6" t="s">
        <v>1106</v>
      </c>
      <c r="E123" s="6" t="s">
        <v>1107</v>
      </c>
      <c r="F123" s="6" t="s">
        <v>618</v>
      </c>
      <c r="G123" s="6" t="s">
        <v>191</v>
      </c>
    </row>
    <row r="124" customFormat="false" ht="117.75" hidden="false" customHeight="true" outlineLevel="0" collapsed="false">
      <c r="A124" s="5" t="s">
        <v>554</v>
      </c>
      <c r="B124" s="5" t="s">
        <v>1108</v>
      </c>
      <c r="C124" s="5" t="s">
        <v>1109</v>
      </c>
      <c r="D124" s="5" t="s">
        <v>1110</v>
      </c>
      <c r="E124" s="5" t="s">
        <v>1111</v>
      </c>
      <c r="F124" s="5" t="s">
        <v>618</v>
      </c>
      <c r="G124" s="5" t="s">
        <v>181</v>
      </c>
    </row>
    <row r="125" customFormat="false" ht="117.75" hidden="false" customHeight="true" outlineLevel="0" collapsed="false">
      <c r="A125" s="6" t="s">
        <v>557</v>
      </c>
      <c r="B125" s="6" t="s">
        <v>1112</v>
      </c>
      <c r="C125" s="6" t="s">
        <v>1113</v>
      </c>
      <c r="D125" s="6" t="s">
        <v>1114</v>
      </c>
      <c r="E125" s="6" t="s">
        <v>1115</v>
      </c>
      <c r="F125" s="6" t="s">
        <v>618</v>
      </c>
      <c r="G125" s="6" t="s">
        <v>181</v>
      </c>
    </row>
    <row r="126" customFormat="false" ht="117.75" hidden="false" customHeight="true" outlineLevel="0" collapsed="false">
      <c r="A126" s="5" t="s">
        <v>560</v>
      </c>
      <c r="B126" s="5" t="s">
        <v>1116</v>
      </c>
      <c r="C126" s="5" t="s">
        <v>1117</v>
      </c>
      <c r="D126" s="5" t="s">
        <v>1118</v>
      </c>
      <c r="E126" s="5" t="s">
        <v>1119</v>
      </c>
      <c r="F126" s="5" t="s">
        <v>618</v>
      </c>
      <c r="G126" s="5" t="s">
        <v>181</v>
      </c>
    </row>
    <row r="127" customFormat="false" ht="117.75" hidden="false" customHeight="true" outlineLevel="0" collapsed="false">
      <c r="A127" s="5" t="s">
        <v>563</v>
      </c>
      <c r="B127" s="5" t="s">
        <v>1120</v>
      </c>
      <c r="C127" s="5" t="s">
        <v>1121</v>
      </c>
      <c r="D127" s="5" t="s">
        <v>1122</v>
      </c>
      <c r="E127" s="5" t="s">
        <v>1123</v>
      </c>
      <c r="F127" s="5" t="s">
        <v>1124</v>
      </c>
      <c r="G127" s="5" t="s">
        <v>196</v>
      </c>
    </row>
    <row r="128" customFormat="false" ht="117.75" hidden="false" customHeight="true" outlineLevel="0" collapsed="false">
      <c r="A128" s="5" t="s">
        <v>569</v>
      </c>
      <c r="B128" s="5" t="s">
        <v>1125</v>
      </c>
      <c r="C128" s="5" t="s">
        <v>1126</v>
      </c>
      <c r="D128" s="5" t="s">
        <v>1127</v>
      </c>
      <c r="E128" s="5" t="s">
        <v>1128</v>
      </c>
      <c r="F128" s="5" t="s">
        <v>1124</v>
      </c>
      <c r="G128" s="5" t="s">
        <v>196</v>
      </c>
    </row>
    <row r="129" customFormat="false" ht="117.75" hidden="false" customHeight="true" outlineLevel="0" collapsed="false">
      <c r="A129" s="5" t="s">
        <v>572</v>
      </c>
      <c r="B129" s="5" t="s">
        <v>1129</v>
      </c>
      <c r="C129" s="5" t="s">
        <v>1130</v>
      </c>
      <c r="D129" s="5" t="s">
        <v>1131</v>
      </c>
      <c r="E129" s="5" t="s">
        <v>1132</v>
      </c>
      <c r="F129" s="5" t="s">
        <v>1124</v>
      </c>
      <c r="G129" s="5" t="s">
        <v>196</v>
      </c>
    </row>
    <row r="130" customFormat="false" ht="117.75" hidden="false" customHeight="true" outlineLevel="0" collapsed="false">
      <c r="A130" s="5" t="s">
        <v>574</v>
      </c>
      <c r="B130" s="5" t="s">
        <v>1133</v>
      </c>
      <c r="C130" s="5" t="s">
        <v>1134</v>
      </c>
      <c r="D130" s="5" t="s">
        <v>1135</v>
      </c>
      <c r="E130" s="5" t="s">
        <v>1136</v>
      </c>
      <c r="F130" s="5" t="s">
        <v>1124</v>
      </c>
      <c r="G130" s="5" t="s">
        <v>196</v>
      </c>
    </row>
    <row r="131" customFormat="false" ht="117.75" hidden="false" customHeight="true" outlineLevel="0" collapsed="false">
      <c r="A131" s="5" t="s">
        <v>577</v>
      </c>
      <c r="B131" s="5" t="s">
        <v>1137</v>
      </c>
      <c r="C131" s="5" t="s">
        <v>1138</v>
      </c>
      <c r="D131" s="5" t="s">
        <v>1139</v>
      </c>
      <c r="E131" s="5" t="s">
        <v>1140</v>
      </c>
      <c r="F131" s="5" t="s">
        <v>1124</v>
      </c>
      <c r="G131" s="5" t="s">
        <v>196</v>
      </c>
    </row>
    <row r="132" customFormat="false" ht="39.55" hidden="false" customHeight="false" outlineLevel="0" collapsed="false">
      <c r="A132" s="5" t="s">
        <v>579</v>
      </c>
      <c r="B132" s="5" t="s">
        <v>1141</v>
      </c>
      <c r="C132" s="5" t="s">
        <v>1142</v>
      </c>
      <c r="D132" s="5" t="s">
        <v>1143</v>
      </c>
      <c r="E132" s="5" t="s">
        <v>1144</v>
      </c>
      <c r="F132" s="5" t="s">
        <v>1145</v>
      </c>
      <c r="G132" s="5" t="s">
        <v>587</v>
      </c>
    </row>
    <row r="133" customFormat="false" ht="39.55" hidden="false" customHeight="false" outlineLevel="0" collapsed="false">
      <c r="A133" s="5" t="s">
        <v>585</v>
      </c>
      <c r="B133" s="5" t="s">
        <v>1146</v>
      </c>
      <c r="C133" s="5" t="s">
        <v>1147</v>
      </c>
      <c r="D133" s="5" t="s">
        <v>1148</v>
      </c>
      <c r="E133" s="5" t="s">
        <v>1149</v>
      </c>
      <c r="F133" s="5" t="s">
        <v>1145</v>
      </c>
      <c r="G133" s="5" t="s">
        <v>587</v>
      </c>
    </row>
    <row r="134" customFormat="false" ht="39.55" hidden="false" customHeight="false" outlineLevel="0" collapsed="false">
      <c r="A134" s="5" t="s">
        <v>589</v>
      </c>
      <c r="B134" s="5" t="s">
        <v>1150</v>
      </c>
      <c r="C134" s="5" t="s">
        <v>1151</v>
      </c>
      <c r="D134" s="5" t="s">
        <v>1152</v>
      </c>
      <c r="E134" s="5" t="s">
        <v>1153</v>
      </c>
      <c r="F134" s="5" t="s">
        <v>1145</v>
      </c>
      <c r="G134" s="5" t="s">
        <v>587</v>
      </c>
    </row>
    <row r="135" customFormat="false" ht="39.55" hidden="false" customHeight="false" outlineLevel="0" collapsed="false">
      <c r="A135" s="5" t="s">
        <v>594</v>
      </c>
      <c r="B135" s="5" t="s">
        <v>1154</v>
      </c>
      <c r="C135" s="5" t="s">
        <v>1155</v>
      </c>
      <c r="D135" s="5" t="s">
        <v>1156</v>
      </c>
      <c r="E135" s="5" t="s">
        <v>1157</v>
      </c>
      <c r="F135" s="5" t="s">
        <v>1145</v>
      </c>
      <c r="G135" s="5" t="s">
        <v>177</v>
      </c>
    </row>
    <row r="136" customFormat="false" ht="39.55" hidden="false" customHeight="false" outlineLevel="0" collapsed="false">
      <c r="A136" s="5" t="s">
        <v>598</v>
      </c>
      <c r="B136" s="5" t="s">
        <v>1158</v>
      </c>
      <c r="C136" s="5" t="s">
        <v>1159</v>
      </c>
      <c r="D136" s="5" t="s">
        <v>1160</v>
      </c>
      <c r="E136" s="5" t="s">
        <v>1161</v>
      </c>
      <c r="F136" s="5" t="s">
        <v>1145</v>
      </c>
      <c r="G136" s="5" t="s">
        <v>202</v>
      </c>
    </row>
    <row r="137" customFormat="false" ht="39.55" hidden="false" customHeight="false" outlineLevel="0" collapsed="false">
      <c r="A137" s="5" t="s">
        <v>600</v>
      </c>
      <c r="B137" s="5" t="s">
        <v>1162</v>
      </c>
      <c r="C137" s="5" t="s">
        <v>1163</v>
      </c>
      <c r="D137" s="5" t="s">
        <v>1164</v>
      </c>
      <c r="E137" s="5" t="s">
        <v>1165</v>
      </c>
      <c r="F137" s="5" t="s">
        <v>1145</v>
      </c>
      <c r="G137" s="5" t="s">
        <v>202</v>
      </c>
    </row>
    <row r="138" customFormat="false" ht="39.55" hidden="false" customHeight="false" outlineLevel="0" collapsed="false">
      <c r="A138" s="5" t="s">
        <v>603</v>
      </c>
      <c r="B138" s="5" t="s">
        <v>1166</v>
      </c>
      <c r="C138" s="5" t="s">
        <v>1167</v>
      </c>
      <c r="D138" s="5" t="s">
        <v>1168</v>
      </c>
      <c r="E138" s="5" t="s">
        <v>1169</v>
      </c>
      <c r="F138" s="5" t="s">
        <v>1145</v>
      </c>
      <c r="G138" s="5" t="s">
        <v>202</v>
      </c>
    </row>
    <row r="139" customFormat="false" ht="39.55" hidden="false" customHeight="false" outlineLevel="0" collapsed="false">
      <c r="A139" s="5" t="s">
        <v>605</v>
      </c>
      <c r="B139" s="5" t="s">
        <v>1170</v>
      </c>
      <c r="C139" s="5" t="s">
        <v>1171</v>
      </c>
      <c r="D139" s="5" t="s">
        <v>1172</v>
      </c>
      <c r="E139" s="5" t="s">
        <v>1173</v>
      </c>
      <c r="F139" s="5" t="s">
        <v>1145</v>
      </c>
      <c r="G139" s="5" t="s">
        <v>202</v>
      </c>
    </row>
  </sheetData>
  <mergeCells count="2">
    <mergeCell ref="A1:G1"/>
    <mergeCell ref="A2:G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5"/>
    <col collapsed="false" customWidth="true" hidden="false" outlineLevel="0" max="3" min="3" style="1" width="90"/>
    <col collapsed="false" customWidth="true" hidden="false" outlineLevel="0" max="4" min="4" style="1" width="30"/>
    <col collapsed="false" customWidth="true" hidden="false" outlineLevel="0" max="5" min="5" style="1" width="20"/>
    <col collapsed="false" customWidth="true" hidden="false" outlineLevel="0" max="6" min="6" style="1" width="70"/>
  </cols>
  <sheetData>
    <row r="1" customFormat="false" ht="27.75" hidden="false" customHeight="true" outlineLevel="0" collapsed="false">
      <c r="A1" s="2" t="s">
        <v>1174</v>
      </c>
      <c r="B1" s="2"/>
      <c r="C1" s="2"/>
      <c r="D1" s="2"/>
      <c r="E1" s="2"/>
      <c r="F1" s="2"/>
    </row>
    <row r="2" customFormat="false" ht="30" hidden="false" customHeight="true" outlineLevel="0" collapsed="false">
      <c r="A2" s="3" t="s">
        <v>1175</v>
      </c>
      <c r="B2" s="3"/>
      <c r="C2" s="3"/>
      <c r="D2" s="3"/>
      <c r="E2" s="3"/>
      <c r="F2" s="3"/>
    </row>
    <row r="3" customFormat="false" ht="43.5" hidden="false" customHeight="true" outlineLevel="0" collapsed="false">
      <c r="A3" s="4" t="s">
        <v>36</v>
      </c>
      <c r="B3" s="4" t="s">
        <v>1176</v>
      </c>
      <c r="C3" s="4" t="s">
        <v>1177</v>
      </c>
      <c r="D3" s="4" t="s">
        <v>1178</v>
      </c>
      <c r="E3" s="4" t="s">
        <v>217</v>
      </c>
      <c r="F3" s="4" t="s">
        <v>1179</v>
      </c>
    </row>
    <row r="4" customFormat="false" ht="67.5" hidden="false" customHeight="true" outlineLevel="0" collapsed="false">
      <c r="A4" s="5" t="s">
        <v>1180</v>
      </c>
      <c r="B4" s="5" t="s">
        <v>1181</v>
      </c>
      <c r="C4" s="5" t="s">
        <v>1182</v>
      </c>
      <c r="D4" s="5" t="s">
        <v>1183</v>
      </c>
      <c r="E4" s="9" t="s">
        <v>1184</v>
      </c>
      <c r="F4" s="9" t="s">
        <v>1185</v>
      </c>
    </row>
    <row r="5" customFormat="false" ht="67.5" hidden="false" customHeight="true" outlineLevel="0" collapsed="false">
      <c r="A5" s="6" t="s">
        <v>331</v>
      </c>
      <c r="B5" s="6" t="s">
        <v>1186</v>
      </c>
      <c r="C5" s="6" t="s">
        <v>1187</v>
      </c>
      <c r="D5" s="6" t="s">
        <v>1188</v>
      </c>
      <c r="E5" s="9" t="s">
        <v>1184</v>
      </c>
      <c r="F5" s="9" t="s">
        <v>1189</v>
      </c>
    </row>
    <row r="6" customFormat="false" ht="67.5" hidden="false" customHeight="true" outlineLevel="0" collapsed="false">
      <c r="A6" s="5" t="s">
        <v>254</v>
      </c>
      <c r="B6" s="5" t="s">
        <v>1190</v>
      </c>
      <c r="C6" s="5" t="s">
        <v>1191</v>
      </c>
      <c r="D6" s="5" t="s">
        <v>1192</v>
      </c>
      <c r="E6" s="9" t="s">
        <v>1184</v>
      </c>
      <c r="F6" s="9" t="s">
        <v>1193</v>
      </c>
    </row>
    <row r="7" customFormat="false" ht="67.5" hidden="false" customHeight="true" outlineLevel="0" collapsed="false">
      <c r="A7" s="6" t="s">
        <v>272</v>
      </c>
      <c r="B7" s="6" t="s">
        <v>1194</v>
      </c>
      <c r="C7" s="6" t="s">
        <v>1195</v>
      </c>
      <c r="D7" s="6" t="s">
        <v>1196</v>
      </c>
      <c r="E7" s="9" t="s">
        <v>1184</v>
      </c>
      <c r="F7" s="9" t="s">
        <v>1197</v>
      </c>
    </row>
    <row r="8" customFormat="false" ht="67.5" hidden="false" customHeight="true" outlineLevel="0" collapsed="false">
      <c r="A8" s="5" t="s">
        <v>258</v>
      </c>
      <c r="B8" s="5" t="s">
        <v>1198</v>
      </c>
      <c r="C8" s="5" t="s">
        <v>1199</v>
      </c>
      <c r="D8" s="5" t="s">
        <v>1200</v>
      </c>
      <c r="E8" s="9" t="s">
        <v>1184</v>
      </c>
      <c r="F8" s="9" t="s">
        <v>1201</v>
      </c>
    </row>
    <row r="9" customFormat="false" ht="67.5" hidden="false" customHeight="true" outlineLevel="0" collapsed="false">
      <c r="A9" s="6" t="s">
        <v>335</v>
      </c>
      <c r="B9" s="6" t="s">
        <v>1202</v>
      </c>
      <c r="C9" s="6" t="s">
        <v>1203</v>
      </c>
      <c r="D9" s="6" t="s">
        <v>1204</v>
      </c>
      <c r="E9" s="9" t="s">
        <v>1184</v>
      </c>
      <c r="F9" s="9" t="s">
        <v>1205</v>
      </c>
    </row>
    <row r="10" customFormat="false" ht="67.5" hidden="false" customHeight="true" outlineLevel="0" collapsed="false">
      <c r="A10" s="5" t="s">
        <v>321</v>
      </c>
      <c r="B10" s="5" t="s">
        <v>1206</v>
      </c>
      <c r="C10" s="5" t="s">
        <v>1207</v>
      </c>
      <c r="D10" s="5" t="s">
        <v>1208</v>
      </c>
      <c r="E10" s="9" t="s">
        <v>1184</v>
      </c>
      <c r="F10" s="9" t="s">
        <v>1209</v>
      </c>
    </row>
    <row r="11" customFormat="false" ht="67.5" hidden="false" customHeight="true" outlineLevel="0" collapsed="false">
      <c r="A11" s="5" t="s">
        <v>485</v>
      </c>
      <c r="B11" s="5" t="s">
        <v>29</v>
      </c>
      <c r="C11" s="5" t="s">
        <v>1210</v>
      </c>
      <c r="D11" s="5" t="s">
        <v>1211</v>
      </c>
      <c r="E11" s="9" t="s">
        <v>1212</v>
      </c>
      <c r="F11" s="9" t="s">
        <v>1213</v>
      </c>
    </row>
    <row r="12" customFormat="false" ht="26.85" hidden="false" customHeight="false" outlineLevel="0" collapsed="false">
      <c r="A12" s="5" t="s">
        <v>587</v>
      </c>
      <c r="B12" s="5" t="s">
        <v>1214</v>
      </c>
      <c r="C12" s="5" t="s">
        <v>1215</v>
      </c>
      <c r="D12" s="5" t="s">
        <v>1216</v>
      </c>
      <c r="E12" s="9" t="s">
        <v>1184</v>
      </c>
      <c r="F12" s="9" t="s">
        <v>1217</v>
      </c>
    </row>
  </sheetData>
  <mergeCells count="2">
    <mergeCell ref="A1:F1"/>
    <mergeCell ref="A2:F2"/>
  </mergeCells>
  <dataValidations count="1">
    <dataValidation allowBlank="false" errorStyle="stop" operator="between" showDropDown="false" showErrorMessage="false" showInputMessage="false" sqref="E4:E12" type="list">
      <formula1>"Offen,In Klärung,Bestätigt"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29"/>
    <col collapsed="false" customWidth="true" hidden="false" outlineLevel="0" max="3" min="3" style="1" width="87"/>
    <col collapsed="false" customWidth="true" hidden="false" outlineLevel="0" max="4" min="4" style="1" width="48"/>
    <col collapsed="false" customWidth="true" hidden="false" outlineLevel="0" max="5" min="5" style="1" width="28"/>
    <col collapsed="false" customWidth="true" hidden="false" outlineLevel="0" max="6" min="6" style="1" width="20"/>
    <col collapsed="false" customWidth="true" hidden="false" outlineLevel="0" max="7" min="7" style="1" width="38"/>
  </cols>
  <sheetData>
    <row r="1" customFormat="false" ht="27.75" hidden="false" customHeight="true" outlineLevel="0" collapsed="false">
      <c r="A1" s="2" t="s">
        <v>1218</v>
      </c>
      <c r="B1" s="2"/>
      <c r="C1" s="2"/>
      <c r="D1" s="2"/>
      <c r="E1" s="2"/>
      <c r="F1" s="2"/>
      <c r="G1" s="2"/>
    </row>
    <row r="2" customFormat="false" ht="30" hidden="false" customHeight="true" outlineLevel="0" collapsed="false">
      <c r="A2" s="3" t="s">
        <v>1219</v>
      </c>
      <c r="B2" s="3"/>
      <c r="C2" s="3"/>
      <c r="D2" s="3"/>
      <c r="E2" s="3"/>
      <c r="F2" s="3"/>
      <c r="G2" s="3"/>
    </row>
    <row r="3" customFormat="false" ht="43.5" hidden="false" customHeight="true" outlineLevel="0" collapsed="false">
      <c r="A3" s="4" t="s">
        <v>36</v>
      </c>
      <c r="B3" s="4" t="s">
        <v>1220</v>
      </c>
      <c r="C3" s="4" t="s">
        <v>1221</v>
      </c>
      <c r="D3" s="4" t="s">
        <v>1222</v>
      </c>
      <c r="E3" s="4" t="s">
        <v>1223</v>
      </c>
      <c r="F3" s="4" t="s">
        <v>217</v>
      </c>
      <c r="G3" s="4" t="s">
        <v>1224</v>
      </c>
    </row>
    <row r="4" customFormat="false" ht="67.5" hidden="false" customHeight="true" outlineLevel="0" collapsed="false">
      <c r="A4" s="5" t="s">
        <v>1225</v>
      </c>
      <c r="B4" s="5" t="s">
        <v>1226</v>
      </c>
      <c r="C4" s="5" t="s">
        <v>1227</v>
      </c>
      <c r="D4" s="5" t="s">
        <v>1228</v>
      </c>
      <c r="E4" s="5" t="s">
        <v>1229</v>
      </c>
      <c r="F4" s="9" t="s">
        <v>227</v>
      </c>
      <c r="G4" s="9" t="s">
        <v>1230</v>
      </c>
    </row>
    <row r="5" customFormat="false" ht="67.5" hidden="false" customHeight="true" outlineLevel="0" collapsed="false">
      <c r="A5" s="6" t="s">
        <v>1231</v>
      </c>
      <c r="B5" s="6" t="s">
        <v>1232</v>
      </c>
      <c r="C5" s="6" t="s">
        <v>1233</v>
      </c>
      <c r="D5" s="6" t="s">
        <v>1234</v>
      </c>
      <c r="E5" s="6" t="s">
        <v>1235</v>
      </c>
      <c r="F5" s="9" t="s">
        <v>227</v>
      </c>
      <c r="G5" s="9" t="s">
        <v>1236</v>
      </c>
    </row>
    <row r="6" customFormat="false" ht="67.5" hidden="false" customHeight="true" outlineLevel="0" collapsed="false">
      <c r="A6" s="5" t="s">
        <v>1237</v>
      </c>
      <c r="B6" s="5" t="s">
        <v>1238</v>
      </c>
      <c r="C6" s="5" t="s">
        <v>1239</v>
      </c>
      <c r="D6" s="5" t="s">
        <v>1240</v>
      </c>
      <c r="E6" s="5" t="s">
        <v>1241</v>
      </c>
      <c r="F6" s="9" t="s">
        <v>227</v>
      </c>
      <c r="G6" s="9" t="s">
        <v>1242</v>
      </c>
    </row>
    <row r="7" customFormat="false" ht="67.5" hidden="false" customHeight="true" outlineLevel="0" collapsed="false">
      <c r="A7" s="6" t="s">
        <v>1243</v>
      </c>
      <c r="B7" s="6" t="s">
        <v>1244</v>
      </c>
      <c r="C7" s="6" t="s">
        <v>1245</v>
      </c>
      <c r="D7" s="6" t="s">
        <v>1246</v>
      </c>
      <c r="E7" s="6" t="s">
        <v>1247</v>
      </c>
      <c r="F7" s="9" t="s">
        <v>227</v>
      </c>
      <c r="G7" s="9" t="s">
        <v>1248</v>
      </c>
    </row>
    <row r="8" customFormat="false" ht="67.5" hidden="false" customHeight="true" outlineLevel="0" collapsed="false">
      <c r="A8" s="5" t="s">
        <v>1249</v>
      </c>
      <c r="B8" s="5" t="s">
        <v>1250</v>
      </c>
      <c r="C8" s="5" t="s">
        <v>1251</v>
      </c>
      <c r="D8" s="5" t="s">
        <v>1252</v>
      </c>
      <c r="E8" s="5" t="s">
        <v>1253</v>
      </c>
      <c r="F8" s="9" t="s">
        <v>227</v>
      </c>
      <c r="G8" s="9" t="s">
        <v>1254</v>
      </c>
    </row>
    <row r="9" customFormat="false" ht="67.5" hidden="false" customHeight="true" outlineLevel="0" collapsed="false">
      <c r="A9" s="6" t="s">
        <v>1255</v>
      </c>
      <c r="B9" s="6" t="s">
        <v>1256</v>
      </c>
      <c r="C9" s="6" t="s">
        <v>1257</v>
      </c>
      <c r="D9" s="6" t="s">
        <v>1258</v>
      </c>
      <c r="E9" s="6" t="s">
        <v>1259</v>
      </c>
      <c r="F9" s="9" t="s">
        <v>227</v>
      </c>
      <c r="G9" s="9" t="s">
        <v>1260</v>
      </c>
    </row>
    <row r="10" customFormat="false" ht="67.5" hidden="false" customHeight="true" outlineLevel="0" collapsed="false">
      <c r="A10" s="5" t="s">
        <v>1261</v>
      </c>
      <c r="B10" s="5" t="s">
        <v>1262</v>
      </c>
      <c r="C10" s="5" t="s">
        <v>1263</v>
      </c>
      <c r="D10" s="5" t="s">
        <v>1264</v>
      </c>
      <c r="E10" s="5" t="s">
        <v>1247</v>
      </c>
      <c r="F10" s="9" t="s">
        <v>227</v>
      </c>
      <c r="G10" s="9" t="s">
        <v>1265</v>
      </c>
    </row>
    <row r="11" customFormat="false" ht="67.5" hidden="false" customHeight="true" outlineLevel="0" collapsed="false">
      <c r="A11" s="6" t="s">
        <v>1266</v>
      </c>
      <c r="B11" s="6" t="s">
        <v>1267</v>
      </c>
      <c r="C11" s="6" t="s">
        <v>1268</v>
      </c>
      <c r="D11" s="6" t="s">
        <v>1269</v>
      </c>
      <c r="E11" s="6" t="s">
        <v>1270</v>
      </c>
      <c r="F11" s="9" t="s">
        <v>227</v>
      </c>
      <c r="G11" s="9" t="s">
        <v>1271</v>
      </c>
    </row>
    <row r="12" customFormat="false" ht="67.5" hidden="false" customHeight="true" outlineLevel="0" collapsed="false">
      <c r="A12" s="5" t="s">
        <v>1272</v>
      </c>
      <c r="B12" s="5" t="s">
        <v>1273</v>
      </c>
      <c r="C12" s="5" t="s">
        <v>1274</v>
      </c>
      <c r="D12" s="5" t="s">
        <v>1275</v>
      </c>
      <c r="E12" s="5" t="s">
        <v>1276</v>
      </c>
      <c r="F12" s="9" t="s">
        <v>227</v>
      </c>
      <c r="G12" s="9" t="s">
        <v>1277</v>
      </c>
    </row>
    <row r="13" customFormat="false" ht="67.5" hidden="false" customHeight="true" outlineLevel="0" collapsed="false">
      <c r="A13" s="6" t="s">
        <v>1278</v>
      </c>
      <c r="B13" s="6" t="s">
        <v>1279</v>
      </c>
      <c r="C13" s="6" t="s">
        <v>1280</v>
      </c>
      <c r="D13" s="6" t="s">
        <v>1281</v>
      </c>
      <c r="E13" s="6" t="s">
        <v>1282</v>
      </c>
      <c r="F13" s="9" t="s">
        <v>227</v>
      </c>
      <c r="G13" s="9" t="s">
        <v>1283</v>
      </c>
    </row>
    <row r="14" customFormat="false" ht="67.5" hidden="false" customHeight="true" outlineLevel="0" collapsed="false">
      <c r="A14" s="5" t="s">
        <v>1284</v>
      </c>
      <c r="B14" s="5" t="s">
        <v>1285</v>
      </c>
      <c r="C14" s="5" t="s">
        <v>1286</v>
      </c>
      <c r="D14" s="5" t="s">
        <v>1287</v>
      </c>
      <c r="E14" s="5" t="s">
        <v>1288</v>
      </c>
      <c r="F14" s="9" t="s">
        <v>227</v>
      </c>
      <c r="G14" s="9" t="s">
        <v>1289</v>
      </c>
    </row>
    <row r="15" customFormat="false" ht="67.5" hidden="false" customHeight="true" outlineLevel="0" collapsed="false">
      <c r="A15" s="6" t="s">
        <v>1290</v>
      </c>
      <c r="B15" s="6" t="s">
        <v>1291</v>
      </c>
      <c r="C15" s="6" t="s">
        <v>1292</v>
      </c>
      <c r="D15" s="6" t="s">
        <v>1293</v>
      </c>
      <c r="E15" s="6" t="s">
        <v>1294</v>
      </c>
      <c r="F15" s="9" t="s">
        <v>227</v>
      </c>
      <c r="G15" s="9" t="s">
        <v>1295</v>
      </c>
    </row>
    <row r="16" customFormat="false" ht="39.55" hidden="false" customHeight="false" outlineLevel="0" collapsed="false">
      <c r="A16" s="6" t="s">
        <v>1296</v>
      </c>
      <c r="B16" s="6" t="s">
        <v>1297</v>
      </c>
      <c r="C16" s="6" t="s">
        <v>1298</v>
      </c>
      <c r="D16" s="6" t="s">
        <v>1299</v>
      </c>
      <c r="E16" s="6" t="s">
        <v>1300</v>
      </c>
      <c r="F16" s="9" t="s">
        <v>227</v>
      </c>
      <c r="G16" s="9" t="s">
        <v>1301</v>
      </c>
    </row>
  </sheetData>
  <mergeCells count="2">
    <mergeCell ref="A1:G1"/>
    <mergeCell ref="A2:G2"/>
  </mergeCells>
  <dataValidations count="1">
    <dataValidation allowBlank="false" errorStyle="stop" operator="between" showDropDown="false" showErrorMessage="false" showInputMessage="false" sqref="F4:F16" type="list">
      <formula1>"Offen,In Prüfung,Erfüllt"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2026-10-14T15:55:12Z</dcterms:created>
  <dc:creator>openpyxl</dc:creator>
  <dc:description/>
  <dc:language>en-US</dc:language>
  <cp:lastModifiedBy/>
  <dcterms:modified xsi:type="dcterms:W3CDTF">2026-10-14T16:36:53Z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