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tart" sheetId="1" state="visible" r:id="rId1"/>
    <sheet name="Userstories" sheetId="2" state="visible" r:id="rId2"/>
    <sheet name="Tasks" sheetId="3" state="visible" r:id="rId3"/>
    <sheet name="Briefings" sheetId="4" state="visible" r:id="rId4"/>
    <sheet name="Entscheidungen" sheetId="5" state="visible" r:id="rId5"/>
    <sheet name="DoD M1" sheetId="6" state="visible" r:id="rId6"/>
  </sheets>
  <definedNames/>
  <calcPr calcId="124519" fullCalcOnLoad="1" refMode="A1" iterate="0" iterateCount="100" iterateDelta="0.001"/>
</workbook>
</file>

<file path=xl/styles.xml><?xml version="1.0" encoding="utf-8"?>
<styleSheet xmlns="http://schemas.openxmlformats.org/spreadsheetml/2006/main">
  <numFmts count="1">
    <numFmt numFmtId="164" formatCode="0.0"/>
  </numFmts>
  <fonts count="8">
    <font>
      <name val="Arial"/>
      <charset val="1"/>
      <family val="2"/>
      <sz val="10"/>
    </font>
    <font>
      <name val="Arial"/>
      <family val="0"/>
      <sz val="10"/>
    </font>
    <font>
      <name val="Arial"/>
      <family val="0"/>
      <sz val="10"/>
    </font>
    <font>
      <name val="Arial"/>
      <family val="0"/>
      <sz val="10"/>
    </font>
    <font>
      <name val="Arial"/>
      <charset val="1"/>
      <family val="0"/>
      <b val="1"/>
      <color rgb="FF173B31"/>
      <sz val="16"/>
    </font>
    <font>
      <name val="Arial"/>
      <charset val="1"/>
      <family val="0"/>
      <color rgb="FF526B60"/>
      <sz val="10"/>
    </font>
    <font>
      <name val="Arial"/>
      <charset val="1"/>
      <family val="0"/>
      <b val="1"/>
      <color rgb="FFFFFFFF"/>
      <sz val="11"/>
    </font>
    <font>
      <name val="Arial"/>
      <charset val="1"/>
      <family val="0"/>
      <color rgb="FF173B31"/>
      <sz val="11"/>
    </font>
  </fonts>
  <fills count="6">
    <fill>
      <patternFill/>
    </fill>
    <fill>
      <patternFill patternType="gray125"/>
    </fill>
    <fill>
      <patternFill patternType="solid">
        <fgColor rgb="FF235B47"/>
        <bgColor rgb="FF173B31"/>
      </patternFill>
    </fill>
    <fill>
      <patternFill patternType="solid">
        <fgColor rgb="FFFFFFFF"/>
        <bgColor rgb="FFEFF4EF"/>
      </patternFill>
    </fill>
    <fill>
      <patternFill patternType="solid">
        <fgColor rgb="FFEFF4EF"/>
        <bgColor rgb="FFFFFFFF"/>
      </patternFill>
    </fill>
    <fill>
      <patternFill patternType="solid">
        <fgColor rgb="FFFFF0C5"/>
        <bgColor rgb="FFEFF4E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center" vertical="center" wrapText="1"/>
    </xf>
    <xf numFmtId="0" fontId="7" fillId="3" borderId="0" applyAlignment="1" pivotButton="0" quotePrefix="0" xfId="0">
      <alignment horizontal="general" vertical="center" wrapText="1"/>
    </xf>
    <xf numFmtId="0" fontId="7" fillId="4" borderId="0" applyAlignment="1" pivotButton="0" quotePrefix="0" xfId="0">
      <alignment horizontal="general" vertical="center" wrapText="1"/>
    </xf>
    <xf numFmtId="164" fontId="7" fillId="3" borderId="0" applyAlignment="1" pivotButton="0" quotePrefix="0" xfId="0">
      <alignment horizontal="general" vertical="center" wrapText="1"/>
    </xf>
    <xf numFmtId="164" fontId="7" fillId="4" borderId="0" applyAlignment="1" pivotButton="0" quotePrefix="0" xfId="0">
      <alignment horizontal="general" vertical="center" wrapText="1"/>
    </xf>
    <xf numFmtId="0" fontId="7" fillId="5" borderId="0" applyAlignment="1" pivotButton="0" quotePrefix="0" xfId="0">
      <alignment horizontal="general"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center" vertical="center" wrapText="1"/>
    </xf>
    <xf numFmtId="0" fontId="7" fillId="3" borderId="0" applyAlignment="1" pivotButton="0" quotePrefix="0" xfId="0">
      <alignment horizontal="general" vertical="center" wrapText="1"/>
    </xf>
    <xf numFmtId="0" fontId="7" fillId="4" borderId="0" applyAlignment="1" pivotButton="0" quotePrefix="0" xfId="0">
      <alignment horizontal="general" vertical="center" wrapText="1"/>
    </xf>
    <xf numFmtId="164" fontId="7" fillId="3" borderId="0" applyAlignment="1" pivotButton="0" quotePrefix="0" xfId="0">
      <alignment horizontal="general" vertical="center" wrapText="1"/>
    </xf>
    <xf numFmtId="164" fontId="7" fillId="4" borderId="0" applyAlignment="1" pivotButton="0" quotePrefix="0" xfId="0">
      <alignment horizontal="general" vertical="center" wrapText="1"/>
    </xf>
    <xf numFmtId="0" fontId="7" fillId="5" borderId="0" applyAlignment="1" pivotButton="0" quotePrefix="0" xfId="0">
      <alignment horizontal="general"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235B47"/>
          <bgColor rgb="FF000000"/>
        </patternFill>
      </fill>
    </dxf>
    <dxf>
      <fill>
        <patternFill patternType="solid">
          <fgColor rgb="FFEFF4EF"/>
          <bgColor rgb="FF000000"/>
        </patternFill>
      </fill>
    </dxf>
    <dxf>
      <fill>
        <patternFill patternType="solid">
          <fgColor rgb="FFFFFFFF"/>
          <bgColor rgb="FF000000"/>
        </patternFill>
      </fill>
    </dxf>
    <dxf>
      <fill>
        <patternFill patternType="solid">
          <fgColor rgb="FF173B31"/>
          <bgColor rgb="FF000000"/>
        </patternFill>
      </fill>
    </dxf>
    <dxf>
      <fill>
        <patternFill patternType="solid">
          <fgColor rgb="FFFFF0C5"/>
          <bgColor rgb="FF000000"/>
        </patternFill>
      </fill>
    </dxf>
    <dxf>
      <font>
        <color rgb="FF8F3025"/>
      </font>
      <fill>
        <patternFill>
          <bgColor rgb="FFF4DAD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0C5"/>
      <rgbColor rgb="FFEFF4E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DAD4"/>
      <rgbColor rgb="FF3366FF"/>
      <rgbColor rgb="FF33CCCC"/>
      <rgbColor rgb="FF99CC00"/>
      <rgbColor rgb="FFFFCC00"/>
      <rgbColor rgb="FFFF9900"/>
      <rgbColor rgb="FFFF6600"/>
      <rgbColor rgb="FF526B60"/>
      <rgbColor rgb="FF969696"/>
      <rgbColor rgb="FF235B47"/>
      <rgbColor rgb="FF339966"/>
      <rgbColor rgb="FF003300"/>
      <rgbColor rgb="FF333300"/>
      <rgbColor rgb="FF8F3025"/>
      <rgbColor rgb="FF993366"/>
      <rgbColor rgb="FF333399"/>
      <rgbColor rgb="FF173B31"/>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StartTable" displayName="StartTable" ref="A3:C19" headerRowCount="1" totalsRowCount="0" totalsRowShown="0">
  <autoFilter ref="A3:C19"/>
  <tableColumns count="3">
    <tableColumn id="1" name="Bereich"/>
    <tableColumn id="2" name="Anwendung"/>
    <tableColumn id="3" name="Anzahl"/>
  </tableColumns>
</table>
</file>

<file path=xl/tables/table2.xml><?xml version="1.0" encoding="utf-8"?>
<table xmlns="http://schemas.openxmlformats.org/spreadsheetml/2006/main" id="2" name="UserstoriesTable" displayName="UserstoriesTable" ref="A3:M36" headerRowCount="1" totalsRowCount="0" totalsRowShown="0">
  <autoFilter ref="A3:M36"/>
  <tableColumns count="13">
    <tableColumn id="1" name="ID"/>
    <tableColumn id="2" name="Meilenstein"/>
    <tableColumn id="3" name="User Story"/>
    <tableColumn id="4" name="Beschreibung"/>
    <tableColumn id="5" name="Programmierung"/>
    <tableColumn id="6" name="Recherche"/>
    <tableColumn id="7" name="Gesamt"/>
    <tableColumn id="8" name="UP"/>
    <tableColumn id="9" name="Einplanung"/>
    <tableColumn id="10" name="Tasks"/>
    <tableColumn id="11" name="Abgrenzung"/>
    <tableColumn id="12" name="Zweckprüfung (D08)"/>
    <tableColumn id="13" name="Änderung"/>
  </tableColumns>
</table>
</file>

<file path=xl/tables/table3.xml><?xml version="1.0" encoding="utf-8"?>
<table xmlns="http://schemas.openxmlformats.org/spreadsheetml/2006/main" id="3" name="TasksTable" displayName="TasksTable" ref="A3:T141" headerRowCount="1" totalsRowCount="0" totalsRowShown="0">
  <autoFilter ref="A3:T141"/>
  <tableColumns count="20">
    <tableColumn id="1" name="Task-ID"/>
    <tableColumn id="2" name="Story-ID"/>
    <tableColumn id="3" name="Meilenstein"/>
    <tableColumn id="4" name="Reihenfolge"/>
    <tableColumn id="5" name="Task"/>
    <tableColumn id="6" name="Art"/>
    <tableColumn id="7" name="Programmierung"/>
    <tableColumn id="8" name="Recherche"/>
    <tableColumn id="9" name="Gesamt"/>
    <tableColumn id="10" name="Task Points"/>
    <tableColumn id="11" name="Voraussetzungen"/>
    <tableColumn id="12" name="Entscheidungen"/>
    <tableColumn id="13" name="Status"/>
    <tableColumn id="14" name="Verantwortlich"/>
    <tableColumn id="15" name="Bearbeiter"/>
    <tableColumn id="16" name="KI-Einsatz"/>
    <tableColumn id="17" name="Einplanung"/>
    <tableColumn id="18" name="Modul (Vorschlag)"/>
    <tableColumn id="19" name="Zweckprüfung (D08)"/>
    <tableColumn id="20" name="Änderung"/>
  </tableColumns>
</table>
</file>

<file path=xl/tables/table4.xml><?xml version="1.0" encoding="utf-8"?>
<table xmlns="http://schemas.openxmlformats.org/spreadsheetml/2006/main" id="4" name="BriefingsTable" displayName="BriefingsTable" ref="A3:G141" headerRowCount="1" totalsRowCount="0" totalsRowShown="0">
  <autoFilter ref="A3:G141"/>
  <tableColumns count="7">
    <tableColumn id="1" name="Task-ID"/>
    <tableColumn id="2" name="Konkreter Auftrag"/>
    <tableColumn id="3" name="Eingabe / Ausgabe"/>
    <tableColumn id="4" name="Abnahmekriterien"/>
    <tableColumn id="5" name="Gezielte Prüfung"/>
    <tableColumn id="6" name="Nicht enthalten"/>
    <tableColumn id="7" name="Bestandsbezug"/>
  </tableColumns>
</table>
</file>

<file path=xl/tables/table5.xml><?xml version="1.0" encoding="utf-8"?>
<table xmlns="http://schemas.openxmlformats.org/spreadsheetml/2006/main" id="5" name="EntscheidungenTable" displayName="EntscheidungenTable" ref="A3:F12" headerRowCount="1" totalsRowCount="0" totalsRowShown="0">
  <autoFilter ref="A3:F12"/>
  <tableColumns count="6">
    <tableColumn id="1" name="ID"/>
    <tableColumn id="2" name="Thema"/>
    <tableColumn id="3" name="Zu klären"/>
    <tableColumn id="4" name="Zuständigkeit"/>
    <tableColumn id="5" name="Status"/>
    <tableColumn id="6" name="Beschluss / Nachweis"/>
  </tableColumns>
</table>
</file>

<file path=xl/tables/table6.xml><?xml version="1.0" encoding="utf-8"?>
<table xmlns="http://schemas.openxmlformats.org/spreadsheetml/2006/main" id="6" name="DoDM1Table" displayName="DoDM1Table" ref="A3:G16" headerRowCount="1" totalsRowCount="0" totalsRowShown="0">
  <autoFilter ref="A3:G16"/>
  <tableColumns count="7">
    <tableColumn id="1" name="ID"/>
    <tableColumn id="2" name="Bereich / Bezug"/>
    <tableColumn id="3" name="Prüfbares Kriterium"/>
    <tableColumn id="4" name="Nachweis"/>
    <tableColumn id="5" name="Prüfverantwortung"/>
    <tableColumn id="6" name="Status"/>
    <tableColumn id="7" name="Nachweis / Link"/>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filterMode="0">
    <outlinePr summaryBelow="1" summaryRight="1"/>
    <pageSetUpPr fitToPage="0"/>
  </sheetPr>
  <dimension ref="A1:C19"/>
  <sheetViews>
    <sheetView showFormulas="0" showGridLines="0"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10" min="1" max="1"/>
    <col width="125" customWidth="1" style="10" min="2" max="2"/>
    <col width="15" customWidth="1" style="10" min="3" max="3"/>
  </cols>
  <sheetData>
    <row r="1" ht="27.75" customHeight="1" s="11">
      <c r="A1" s="12" t="inlineStr">
        <is>
          <t>VitaSync – Coding-Backlog</t>
        </is>
      </c>
    </row>
    <row r="2" ht="30" customHeight="1" s="11">
      <c r="A2" s="13" t="inlineStr">
        <is>
          <t>Arbeitsgrundlage für sieben Teammitglieder sowie einzeln beauftragte Claude-/Codex-Läufe. Stand: 14.10.2026.</t>
        </is>
      </c>
    </row>
    <row r="3" ht="43.5" customHeight="1" s="11">
      <c r="A3" s="14" t="inlineStr">
        <is>
          <t>Bereich</t>
        </is>
      </c>
      <c r="B3" s="14" t="inlineStr">
        <is>
          <t>Anwendung</t>
        </is>
      </c>
      <c r="C3" s="14" t="inlineStr">
        <is>
          <t>Anzahl</t>
        </is>
      </c>
    </row>
    <row r="4" ht="67.5" customHeight="1" s="11">
      <c r="A4" s="15" t="inlineStr">
        <is>
          <t>Umfang</t>
        </is>
      </c>
      <c r="B4" s="15" t="inlineStr">
        <is>
          <t>User Stories U001–U033 und die in der Spalte Anzahl gezaehlten Tasks, einschliesslich 18 Grundlagen. Nach D08 (kein Medizinprodukt) sind 4 Stories mit 13 Tasks gestrichen und weitere umgebaut; nach D09 (EU-Datenschutz, AI Act) kamen F016–F018, T-U028-03 und U033 hinzu. Siehe Spalten „Zweckprüfung (D08)“ und „Änderung“.</t>
        </is>
      </c>
      <c r="C4" s="15">
        <f>COUNTIFS(Tasks!$A$4:$A$1000,"&lt;&gt;")</f>
        <v/>
      </c>
    </row>
    <row r="5" ht="67.5" customHeight="1" s="11">
      <c r="A5" s="16" t="inlineStr">
        <is>
          <t>Nicht erledigt</t>
        </is>
      </c>
      <c r="B5" s="16" t="n"/>
      <c r="C5" s="16">
        <f>COUNTIFS(Tasks!$M$4:$M$1000,"&lt;&gt;Erledigt",Tasks!$M$4:$M$1000,"&lt;&gt;Gestrichen",Tasks!$A$4:$A$1000,"&lt;&gt;")</f>
        <v/>
      </c>
    </row>
    <row r="6" ht="67.5" customHeight="1" s="11">
      <c r="A6" s="15" t="inlineStr">
        <is>
          <t>Erledigte Tasks</t>
        </is>
      </c>
      <c r="B6" s="15" t="n"/>
      <c r="C6" s="15">
        <f>COUNTIFS(Tasks!$M$4:$M$1000,"Erledigt")</f>
        <v/>
      </c>
    </row>
    <row r="7" ht="67.5" customHeight="1" s="11">
      <c r="A7" s="16" t="inlineStr">
        <is>
          <t>Startreihenfolge</t>
        </is>
      </c>
      <c r="B7" s="16" t="inlineStr">
        <is>
          <t>1. Entscheidungen klären. 2. Grundlagen bauen. 3. Tasks nach Reihenfolge und Abhängigkeiten übernehmen. M1 zuerst; optionale Stories separat freigeben.</t>
        </is>
      </c>
      <c r="C7" s="16" t="n"/>
    </row>
    <row r="8" ht="67.5" customHeight="1" s="11">
      <c r="A8" s="15" t="inlineStr">
        <is>
          <t>Taskgröße</t>
        </is>
      </c>
      <c r="B8" s="15" t="inlineStr">
        <is>
          <t>Ein Task liefert einen begrenzten, prüfbaren Baustein. Ziel: meist eine kurze Arbeitssitzung; abhängig von Erfahrung und Codebasis. Dauert ein Task voraussichtlich über einen halben Arbeitstag, vor Beginn weiter teilen.</t>
        </is>
      </c>
      <c r="C8" s="15" t="n"/>
    </row>
    <row r="9" ht="67.5" customHeight="1" s="11">
      <c r="A9" s="16" t="inlineStr">
        <is>
          <t>Bewertung</t>
        </is>
      </c>
      <c r="B9" s="16" t="inlineStr">
        <is>
          <t>Komplexität 1–5; Gesamt = (Programmierung + Recherche) / 2. Task Points sind erste relative Schätzungen (2 oder 3), keine Stunden. Story-UP und Task Points nicht addieren.</t>
        </is>
      </c>
      <c r="C9" s="16" t="n"/>
    </row>
    <row r="10" ht="67.5" customHeight="1" s="11">
      <c r="A10" s="15" t="inlineStr">
        <is>
          <t>Vor dem Start</t>
        </is>
      </c>
      <c r="B10" s="15" t="inlineStr">
        <is>
          <t>Task muss frei, alle Voraussetzungen erfüllt und benötigte Entscheidungen bestätigt sein. Optionalen Umfang ausdrücklich auswählen. Status von Offen auf Bereit setzen; menschlichen Verantwortlichen eintragen.</t>
        </is>
      </c>
      <c r="C10" s="15" t="n"/>
    </row>
    <row r="11" ht="67.5" customHeight="1" s="11">
      <c r="A11" s="16" t="inlineStr">
        <is>
          <t>Claude-/Codex-Auftrag</t>
        </is>
      </c>
      <c r="B11" s="16" t="inlineStr">
        <is>
          <t>Bearbeite genau Task &lt;ID&gt;. Lies Tasks, das zugehörige Briefing, die User Story und bestätigte Entscheidungen. Prüfe Voraussetzungen und Ownership. Implementiere nur den beschriebenen Umfang im bestehenden Stack. Führe die genannten Tests aus. Dokumentiere Änderungen, Testresultate und offene Punkte im Pull Request. Bei fehlenden fachlichen Regeln: blockieren, nicht erfinden.</t>
        </is>
      </c>
      <c r="C11" s="16" t="n"/>
    </row>
    <row r="12" ht="67.5" customHeight="1" s="11">
      <c r="A12" s="15" t="inlineStr">
        <is>
          <t>Arbeitsregel</t>
        </is>
      </c>
      <c r="B12" s="15" t="inlineStr">
        <is>
          <t>Ein Bearbeiter pro Task. Nach Implementierung: Im Review. Eine andere Person prüft und integriert; im Testlauf (D10) übernimmt eine Person alle Rollen und das Review ist die eigene Durchsicht des Diffs vor dem Merge. Erst dann Erledigt. Statusquelle ist die Spalte Status im Blatt Tasks; der Pull Request ist der Nachweis, in dem die Zeile im selben Zug gepflegt wird (docs/Arbeitsablauf.md). GitHub Issues sind optional.</t>
        </is>
      </c>
      <c r="C12" s="15" t="n"/>
    </row>
    <row r="13" ht="67.5" customHeight="1" s="11">
      <c r="A13" s="16" t="inlineStr">
        <is>
          <t>Wichtige Grenzen</t>
        </is>
      </c>
      <c r="B13" s="16" t="inlineStr">
        <is>
          <t>Synthetische Demo-Daten, keine Diagnosegarantien, keine automatische medizinische Regelgenerierung. Fachlich offene Aufgaben sind Research-Aufträge; Code darf erst gegen freigegebene kleine Fälle entstehen.</t>
        </is>
      </c>
      <c r="C13" s="16" t="n"/>
    </row>
    <row r="14" ht="67.5" customHeight="1" s="11">
      <c r="A14" s="15" t="inlineStr">
        <is>
          <t>Quellenstand</t>
        </is>
      </c>
      <c r="B14" s="15" t="inlineStr">
        <is>
          <t>IP_Use_Cases_und_Tasks.xlsx, Version 4 vom 14.10.2026. Grundlage sind die 31 abgestimmten Story-Zuschnitte; technische Task-Zerlegung hier neu als Planungsvorschlag.</t>
        </is>
      </c>
      <c r="C14" s="15" t="n"/>
    </row>
    <row r="15" ht="67.5" customHeight="1" s="11">
      <c r="A15" s="16" t="inlineStr">
        <is>
          <t>Abhängigkeiten</t>
        </is>
      </c>
      <c r="B15" s="16" t="inlineStr">
        <is>
          <t>Reihenfolge ist topologisch sortiert, keine Aufwand-Priorität. Innerhalb einer Story sind Tasks konservativ nacheinander geplant. Unabhängige Aufgaben können parallel bearbeitet werden.</t>
        </is>
      </c>
      <c r="C15" s="16" t="n"/>
    </row>
    <row r="16" ht="67.5" customHeight="1" s="11">
      <c r="A16" s="15" t="inlineStr">
        <is>
          <t>MVP-Grenze</t>
        </is>
      </c>
      <c r="B16" s="15" t="inlineStr">
        <is>
          <t>Bei Datenabruf, Analyse und fachlichen Erklärungen startet die Implementierung mit einem vereinbarten Typ/Thema. Zusätzliche Messgrößen, Quellen und Szenarien erhalten vor Erweiterung eigene kleine Tasks.</t>
        </is>
      </c>
      <c r="C16" s="15" t="n"/>
    </row>
    <row r="17" ht="67.5" customHeight="1" s="11">
      <c r="A17" s="15" t="inlineStr">
        <is>
          <t>Zweckbestimmung</t>
        </is>
      </c>
      <c r="B17" s="15" t="inlineStr">
        <is>
          <t>VitaSync ist kein Medizinprodukt (D08): allgemeine Information, Anzeige eigener Daten, Berechnung ohne Bewertung, Dokumentation. Keine individuelle Bewertung, Diagnose, Dringlichkeitseinstufung, Therapie- oder Medikamentenempfehlung.</t>
        </is>
      </c>
      <c r="C17" s="15" t="n"/>
    </row>
    <row r="18" ht="67.5" customHeight="1" s="11">
      <c r="A18" s="15" t="inlineStr">
        <is>
          <t>Gestrichene Tasks</t>
        </is>
      </c>
      <c r="B18" s="15" t="n"/>
      <c r="C18" s="15">
        <f>COUNTIFS(Tasks!$M$4:$M$1000,"Gestrichen")</f>
        <v/>
      </c>
    </row>
    <row r="19" ht="67.5" customHeight="1" s="11">
      <c r="A19" s="15" t="inlineStr">
        <is>
          <t>Modulspalte</t>
        </is>
      </c>
      <c r="B19" s="15" t="inlineStr">
        <is>
          <t>„Modul (Vorschlag)“ in Tasks nennt den Ordner im Repository. Vorschlag, beim Übernehmen prüfen. „(neu)“ = Ordner bei Start anlegen.</t>
        </is>
      </c>
      <c r="C19" s="15" t="n"/>
    </row>
  </sheetData>
  <mergeCells count="2">
    <mergeCell ref="A1:C1"/>
    <mergeCell ref="A2:C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2.xml><?xml version="1.0" encoding="utf-8"?>
<worksheet xmlns="http://schemas.openxmlformats.org/spreadsheetml/2006/main">
  <sheetPr filterMode="0">
    <outlinePr summaryBelow="1" summaryRight="1"/>
    <pageSetUpPr fitToPage="0"/>
  </sheetPr>
  <dimension ref="A1:M3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0" min="1" max="1"/>
    <col width="13" customWidth="1" style="10" min="2" max="2"/>
    <col width="31" customWidth="1" style="10" min="3" max="3"/>
    <col width="75" customWidth="1" style="10" min="4" max="4"/>
    <col width="14" customWidth="1" style="10" min="5" max="6"/>
    <col width="12" customWidth="1" style="10" min="7" max="7"/>
    <col width="10" customWidth="1" style="10" min="8" max="8"/>
    <col width="25" customWidth="1" style="10" min="9" max="9"/>
    <col width="10" customWidth="1" style="10" min="10" max="10"/>
    <col width="74" customWidth="1" style="10" min="11" max="11"/>
    <col width="18" customWidth="1" style="10" min="12" max="12"/>
    <col width="60" customWidth="1" style="10" min="13" max="13"/>
  </cols>
  <sheetData>
    <row r="1" ht="27.75" customHeight="1" s="11">
      <c r="A1" s="12" t="inlineStr">
        <is>
          <t>VitaSync – 31 User Stories</t>
        </is>
      </c>
    </row>
    <row r="2" ht="30" customHeight="1" s="11">
      <c r="A2" s="13" t="inlineStr">
        <is>
          <t>Unveränderte Story-IDs und UP aus dem bisherigen Backlog. Task Points werden separat geschätzt und nicht zu UP addiert.</t>
        </is>
      </c>
    </row>
    <row r="3" ht="43.5" customHeight="1" s="11">
      <c r="A3" s="14" t="inlineStr">
        <is>
          <t>ID</t>
        </is>
      </c>
      <c r="B3" s="14" t="inlineStr">
        <is>
          <t>Meilenstein</t>
        </is>
      </c>
      <c r="C3" s="14" t="inlineStr">
        <is>
          <t>User Story</t>
        </is>
      </c>
      <c r="D3" s="14" t="inlineStr">
        <is>
          <t>Beschreibung</t>
        </is>
      </c>
      <c r="E3" s="14" t="inlineStr">
        <is>
          <t>Programmierung</t>
        </is>
      </c>
      <c r="F3" s="14" t="inlineStr">
        <is>
          <t>Recherche</t>
        </is>
      </c>
      <c r="G3" s="14" t="inlineStr">
        <is>
          <t>Gesamt</t>
        </is>
      </c>
      <c r="H3" s="14" t="inlineStr">
        <is>
          <t>UP</t>
        </is>
      </c>
      <c r="I3" s="14" t="inlineStr">
        <is>
          <t>Einplanung</t>
        </is>
      </c>
      <c r="J3" s="14" t="inlineStr">
        <is>
          <t>Tasks</t>
        </is>
      </c>
      <c r="K3" s="14" t="inlineStr">
        <is>
          <t>Abgrenzung</t>
        </is>
      </c>
      <c r="L3" s="14" t="inlineStr">
        <is>
          <t>Zweckprüfung (D08)</t>
        </is>
      </c>
      <c r="M3" s="14" t="inlineStr">
        <is>
          <t>Änderung</t>
        </is>
      </c>
    </row>
    <row r="4" ht="109.5" customHeight="1" s="11">
      <c r="A4" s="15" t="inlineStr">
        <is>
          <t>U001</t>
        </is>
      </c>
      <c r="B4" s="15" t="inlineStr">
        <is>
          <t>M3</t>
        </is>
      </c>
      <c r="C4" s="15" t="inlineStr">
        <is>
          <t>Notfallhinweis und allgemeine Zuständigkeiten</t>
        </is>
      </c>
      <c r="D4" s="15" t="inlineStr">
        <is>
          <t>Als Nutzer, der Beschwerden schildert, möchte ich bei bestimmten Warnzeichen-Stichworten sofort einen festen allgemeinen Notfallhinweis (112, 116117) sehen und allgemein erfahren, welche Stelle wofür zuständig ist.</t>
        </is>
      </c>
      <c r="E4" s="15" t="n">
        <v>4</v>
      </c>
      <c r="F4" s="15" t="n">
        <v>5</v>
      </c>
      <c r="G4" s="17">
        <f>(E4+F4)/2</f>
        <v/>
      </c>
      <c r="H4" s="15" t="n">
        <v>21</v>
      </c>
      <c r="I4" s="15" t="inlineStr">
        <is>
          <t>Kern</t>
        </is>
      </c>
      <c r="J4" s="15">
        <f>COUNTIFS(Tasks!$B$4:$B$1000,A4,Tasks!$M$4:$M$1000,"&lt;&gt;Gestrichen")</f>
        <v/>
      </c>
      <c r="K4" s="15" t="inlineStr">
        <is>
          <t>Erweitert um Warnzeichen und Grenzen diagnostischer Antworten. Fachlich geprüfte Regeln; keine Garantie, jeden Notfall zu erkennen. Bisherige hohe Schätzung bleibt bestehen.</t>
        </is>
      </c>
      <c r="L4" s="15" t="inlineStr">
        <is>
          <t>Umgebaut</t>
        </is>
      </c>
      <c r="M4" s="15" t="inlineStr">
        <is>
          <t>Umgebaut nach D08: keine individuelle Dringlichkeitseinstufung, keine Triage. Fester, für alle gleicher Hinweistext aus geprüfter Quelle. Keine Garantie, jeden Notfall zu erkennen; nie Entwarnung.</t>
        </is>
      </c>
    </row>
    <row r="5" ht="109.5" customHeight="1" s="11">
      <c r="A5" s="16" t="inlineStr">
        <is>
          <t>U002</t>
        </is>
      </c>
      <c r="B5" s="16" t="inlineStr">
        <is>
          <t>M4</t>
        </is>
      </c>
      <c r="C5" s="16" t="inlineStr">
        <is>
          <t>Symptome mit vermuteter Ursache</t>
        </is>
      </c>
      <c r="D5" s="16" t="inlineStr">
        <is>
          <t>Als Nutzer mit Beschwerden und einer vermuteten Ursache möchte ich meine Vermutung einordnen lassen, damit ich passende nächste Schritte verstehe.</t>
        </is>
      </c>
      <c r="E5" s="16" t="n">
        <v>4</v>
      </c>
      <c r="F5" s="16" t="n">
        <v>4</v>
      </c>
      <c r="G5" s="18">
        <f>(E5+F5)/2</f>
        <v/>
      </c>
      <c r="H5" s="16" t="n">
        <v>13</v>
      </c>
      <c r="I5" s="16" t="inlineStr">
        <is>
          <t>Gestrichen</t>
        </is>
      </c>
      <c r="J5" s="16">
        <f>COUNTIFS(Tasks!$B$4:$B$1000,A5,Tasks!$M$4:$M$1000,"&lt;&gt;Gestrichen")</f>
        <v/>
      </c>
      <c r="K5" s="16" t="inlineStr">
        <is>
          <t>Kontext und persönliche Daten müssen kontrolliert kombiniert werden; fachliche Prüfung gegen vorschnelle Ursachenzuordnung.</t>
        </is>
      </c>
      <c r="L5" s="16" t="inlineStr">
        <is>
          <t>Gestrichen</t>
        </is>
      </c>
      <c r="M5" s="16" t="inlineStr">
        <is>
          <t>Ursachen einer Beschwerde einzuordnen ist Diagnostik.</t>
        </is>
      </c>
    </row>
    <row r="6" ht="109.5" customHeight="1" s="11">
      <c r="A6" s="15" t="inlineStr">
        <is>
          <t>U003</t>
        </is>
      </c>
      <c r="B6" s="15" t="inlineStr">
        <is>
          <t>M4</t>
        </is>
      </c>
      <c r="C6" s="15" t="inlineStr">
        <is>
          <t>Unklarer Zusammenhang mehrerer Beschwerden</t>
        </is>
      </c>
      <c r="D6" s="15" t="inlineStr">
        <is>
          <t>Als Nutzer mit einem bekannten Ereignis und mehreren Beschwerden möchte ich klären, welche Angaben zusammengehören könnten und welche getrennt abgeklärt werden müssen.</t>
        </is>
      </c>
      <c r="E6" s="15" t="n">
        <v>5</v>
      </c>
      <c r="F6" s="15" t="n">
        <v>5</v>
      </c>
      <c r="G6" s="17">
        <f>(E6+F6)/2</f>
        <v/>
      </c>
      <c r="H6" s="15" t="n">
        <v>21</v>
      </c>
      <c r="I6" s="15" t="inlineStr">
        <is>
          <t>Gestrichen</t>
        </is>
      </c>
      <c r="J6" s="15">
        <f>COUNTIFS(Tasks!$B$4:$B$1000,A6,Tasks!$M$4:$M$1000,"&lt;&gt;Gestrichen")</f>
        <v/>
      </c>
      <c r="K6" s="15" t="inlineStr">
        <is>
          <t>Mehrere Symptome, Ereignisse und Zeitbezüge sowie mehrdeutige Beziehungen; besonders hoher fachlicher Recherche- und Prüfaufwand.</t>
        </is>
      </c>
      <c r="L6" s="15" t="inlineStr">
        <is>
          <t>Gestrichen</t>
        </is>
      </c>
      <c r="M6" s="15" t="inlineStr">
        <is>
          <t>Zusammenhänge mehrerer Beschwerden zu klären ist Differenzialdiagnostik.</t>
        </is>
      </c>
    </row>
    <row r="7" ht="109.5" customHeight="1" s="11">
      <c r="A7" s="16" t="inlineStr">
        <is>
          <t>U004</t>
        </is>
      </c>
      <c r="B7" s="16" t="inlineStr">
        <is>
          <t>M1</t>
        </is>
      </c>
      <c r="C7" s="16" t="inlineStr">
        <is>
          <t>Gesundheitsfremde Frage abweisen</t>
        </is>
      </c>
      <c r="D7" s="16" t="inlineStr">
        <is>
          <t>Als Nutzer mit einer gesundheitsfremden Frage möchte ich eine kurze Erklärung des Aufgabenbereichs erhalten, damit ich weiß, wofür der Chatbot zuständig ist.</t>
        </is>
      </c>
      <c r="E7" s="16" t="n">
        <v>1</v>
      </c>
      <c r="F7" s="16" t="n">
        <v>1</v>
      </c>
      <c r="G7" s="18">
        <f>(E7+F7)/2</f>
        <v/>
      </c>
      <c r="H7" s="16" t="n">
        <v>3</v>
      </c>
      <c r="I7" s="16" t="inlineStr">
        <is>
          <t>Kern</t>
        </is>
      </c>
      <c r="J7" s="16">
        <f>COUNTIFS(Tasks!$B$4:$B$1000,A7,Tasks!$M$4:$M$1000,"&lt;&gt;Gestrichen")</f>
        <v/>
      </c>
      <c r="K7" s="16" t="inlineStr">
        <is>
          <t>Einfacher Intent und feste Antwort; wenig Recherche, sofern das Labelset bereits vereinbart ist.</t>
        </is>
      </c>
      <c r="L7" s="16" t="inlineStr">
        <is>
          <t>Erlaubt</t>
        </is>
      </c>
      <c r="M7" s="16" t="n"/>
    </row>
    <row r="8" ht="109.5" customHeight="1" s="11">
      <c r="A8" s="15" t="inlineStr">
        <is>
          <t>U005</t>
        </is>
      </c>
      <c r="B8" s="15" t="inlineStr">
        <is>
          <t>M2</t>
        </is>
      </c>
      <c r="C8" s="15" t="inlineStr">
        <is>
          <t>Unzulässige Datenabfrage verhindern</t>
        </is>
      </c>
      <c r="D8" s="15" t="inlineStr">
        <is>
          <t>Als berechtigter Nutzer möchte ich, dass unzulässige Abfragen und Zugriffe auf fremde Daten blockiert werden, damit meine Gesundheitsdaten geschützt bleiben.</t>
        </is>
      </c>
      <c r="E8" s="15" t="n">
        <v>5</v>
      </c>
      <c r="F8" s="15" t="n">
        <v>4</v>
      </c>
      <c r="G8" s="17">
        <f>(E8+F8)/2</f>
        <v/>
      </c>
      <c r="H8" s="15" t="n">
        <v>13</v>
      </c>
      <c r="I8" s="15" t="inlineStr">
        <is>
          <t>Kern</t>
        </is>
      </c>
      <c r="J8" s="15">
        <f>COUNTIFS(Tasks!$B$4:$B$1000,A8,Tasks!$M$4:$M$1000,"&lt;&gt;Gestrichen")</f>
        <v/>
      </c>
      <c r="K8" s="15" t="inlineStr">
        <is>
          <t>Berechtigungen, Sitzungsisolation und Angriffstests über mehrere Komponenten; zusätzlicher Datenschutz- und Sicherheitsklärungsbedarf.</t>
        </is>
      </c>
      <c r="L8" s="15" t="inlineStr">
        <is>
          <t>Erlaubt</t>
        </is>
      </c>
      <c r="M8" s="15" t="n"/>
    </row>
    <row r="9" ht="109.5" customHeight="1" s="11">
      <c r="A9" s="16" t="inlineStr">
        <is>
          <t>U006</t>
        </is>
      </c>
      <c r="B9" s="16" t="inlineStr">
        <is>
          <t>M4</t>
        </is>
      </c>
      <c r="C9" s="16" t="inlineStr">
        <is>
          <t>Eigene Daten analysieren lassen</t>
        </is>
      </c>
      <c r="D9" s="16" t="inlineStr">
        <is>
          <t>Als Nutzer möchte ich meine eigenen Gesundheits- und Alltagsdaten zwischen gewählten Zeiträumen vergleichen und verständlich erklärt bekommen. Verwendete Werte, Einheiten, Zeitpunkte und Quellen sowie fehlende Daten sollen sichtbar sein.</t>
        </is>
      </c>
      <c r="E9" s="16" t="n">
        <v>4</v>
      </c>
      <c r="F9" s="16" t="n">
        <v>4</v>
      </c>
      <c r="G9" s="18">
        <f>(E9+F9)/2</f>
        <v/>
      </c>
      <c r="H9" s="16" t="n">
        <v>13</v>
      </c>
      <c r="I9" s="16" t="inlineStr">
        <is>
          <t>Kern</t>
        </is>
      </c>
      <c r="J9" s="16">
        <f>COUNTIFS(Tasks!$B$4:$B$1000,A9,Tasks!$M$4:$M$1000,"&lt;&gt;Gestrichen")</f>
        <v/>
      </c>
      <c r="K9" s="16" t="inlineStr">
        <is>
          <t>Zeitraumvergleich war enthalten. Präzisiert um Transparenz und individuelle Werteerklärung; Referenzbereiche nur aus geeigneter Quelle und mit Kontext, keine Diagnose.</t>
        </is>
      </c>
      <c r="L9" s="16" t="inlineStr">
        <is>
          <t>Umgebaut</t>
        </is>
      </c>
      <c r="M9" s="16" t="inlineStr">
        <is>
          <t>Umgebaut nach D08: Zeitraumvergleich, Kennzahlen, Datenlücken und Quellen ja. Keine Referenzbereiche, keine Bewertung als normal/auffällig, keine Diagnose.</t>
        </is>
      </c>
    </row>
    <row r="10" ht="109.5" customHeight="1" s="11">
      <c r="A10" s="15" t="inlineStr">
        <is>
          <t>U007</t>
        </is>
      </c>
      <c r="B10" s="15" t="inlineStr">
        <is>
          <t>M2</t>
        </is>
      </c>
      <c r="C10" s="15" t="inlineStr">
        <is>
          <t>Eigene Daten unverändert abrufen</t>
        </is>
      </c>
      <c r="D10" s="15" t="inlineStr">
        <is>
          <t>Als Nutzer möchte ich meine eigenen vorhandenen Daten gezielt mit Wert, Einheit, Zeitpunkt und Quelle anzeigen lassen, damit ich ihre Herkunft ohne zusätzliche Interpretation nachvollziehen kann.</t>
        </is>
      </c>
      <c r="E10" s="15" t="n">
        <v>3</v>
      </c>
      <c r="F10" s="15" t="n">
        <v>2</v>
      </c>
      <c r="G10" s="17">
        <f>(E10+F10)/2</f>
        <v/>
      </c>
      <c r="H10" s="15" t="n">
        <v>8</v>
      </c>
      <c r="I10" s="15" t="inlineStr">
        <is>
          <t>Kern</t>
        </is>
      </c>
      <c r="J10" s="15">
        <f>COUNTIFS(Tasks!$B$4:$B$1000,A10,Tasks!$M$4:$M$1000,"&lt;&gt;Gestrichen")</f>
        <v/>
      </c>
      <c r="K10" s="15" t="inlineStr">
        <is>
          <t>Quellennachweis ist Teil des Datenabrufs; keine doppelte Transparenz-Story erforderlich.</t>
        </is>
      </c>
      <c r="L10" s="15" t="inlineStr">
        <is>
          <t>Erlaubt</t>
        </is>
      </c>
      <c r="M10" s="15" t="n"/>
    </row>
    <row r="11" ht="109.5" customHeight="1" s="11">
      <c r="A11" s="16" t="inlineStr">
        <is>
          <t>U008</t>
        </is>
      </c>
      <c r="B11" s="16" t="inlineStr">
        <is>
          <t>M4</t>
        </is>
      </c>
      <c r="C11" s="16" t="inlineStr">
        <is>
          <t>Allgemeine Vorsorge-Information</t>
        </is>
      </c>
      <c r="D11" s="16" t="inlineStr">
        <is>
          <t>Als Nutzer möchte ich allgemeine Informationen zu Vorsorgeangeboten (z. B. Check-up) erhalten, damit ich mich informiert an meine Arztpraxis wenden kann.</t>
        </is>
      </c>
      <c r="E11" s="16" t="n">
        <v>4</v>
      </c>
      <c r="F11" s="16" t="n">
        <v>5</v>
      </c>
      <c r="G11" s="18">
        <f>(E11+F11)/2</f>
        <v/>
      </c>
      <c r="H11" s="16" t="n">
        <v>21</v>
      </c>
      <c r="I11" s="16" t="inlineStr">
        <is>
          <t>Kern</t>
        </is>
      </c>
      <c r="J11" s="16">
        <f>COUNTIFS(Tasks!$B$4:$B$1000,A11,Tasks!$M$4:$M$1000,"&lt;&gt;Gestrichen")</f>
        <v/>
      </c>
      <c r="K11" s="16" t="inlineStr">
        <is>
          <t>Hoher Leitlinien- und Aktualitätsaufwand; Unterscheidung von Vorsorge, Beschwerden und diagnostischer Abklärung.</t>
        </is>
      </c>
      <c r="L11" s="16" t="inlineStr">
        <is>
          <t>Umgebaut</t>
        </is>
      </c>
      <c r="M11" s="16" t="inlineStr">
        <is>
          <t>Umgebaut nach D08: nur allgemeine Information, keine individuelle Aussage, was eine Person abklären lassen sollte.</t>
        </is>
      </c>
    </row>
    <row r="12" ht="109.5" customHeight="1" s="11">
      <c r="A12" s="15" t="inlineStr">
        <is>
          <t>U009</t>
        </is>
      </c>
      <c r="B12" s="15" t="inlineStr">
        <is>
          <t>M1</t>
        </is>
      </c>
      <c r="C12" s="15" t="inlineStr">
        <is>
          <t>Allgemeine Gesundheitsinformation erklären</t>
        </is>
      </c>
      <c r="D12" s="15" t="inlineStr">
        <is>
          <t>Als Nutzer möchte ich allgemeine Gesundheitsfragen und Zusammenhänge mit Lebensgewohnheiten kurz und verständlich erklärt bekommen. Verwendete Fachbegriffe werden erläutert; Quellen, Grenzen und bei Bedarf nächste Schritte sind erkennbar, damit ich mich besser orientieren kann.</t>
        </is>
      </c>
      <c r="E12" s="15" t="n">
        <v>2</v>
      </c>
      <c r="F12" s="15" t="n">
        <v>3</v>
      </c>
      <c r="G12" s="17">
        <f>(E12+F12)/2</f>
        <v/>
      </c>
      <c r="H12" s="15" t="n">
        <v>5</v>
      </c>
      <c r="I12" s="15" t="inlineStr">
        <is>
          <t>Kern</t>
        </is>
      </c>
      <c r="J12" s="15">
        <f>COUNTIFS(Tasks!$B$4:$B$1000,A12,Tasks!$M$4:$M$1000,"&lt;&gt;Gestrichen")</f>
        <v/>
      </c>
      <c r="K12" s="15" t="inlineStr">
        <is>
          <t>U009 bündelt allgemeine Fragen, Lifestyle-Grundlagen sowie kurze, verständliche Antworten mit erklärten Fachbegriffen. Persönliche Datenanalysen gehören zu U006; ausführliche Details auf Nachfrage. UP bleiben 5, da Antwortqualität zum bisherigen Umfang gehört.</t>
        </is>
      </c>
      <c r="L12" s="15" t="inlineStr">
        <is>
          <t>Erlaubt</t>
        </is>
      </c>
      <c r="M12" s="15" t="n"/>
    </row>
    <row r="13" ht="109.5" customHeight="1" s="11">
      <c r="A13" s="16" t="inlineStr">
        <is>
          <t>U010</t>
        </is>
      </c>
      <c r="B13" s="16" t="inlineStr">
        <is>
          <t>M1</t>
        </is>
      </c>
      <c r="C13" s="16" t="inlineStr">
        <is>
          <t>Unvollständige Anfrage gezielt klären</t>
        </is>
      </c>
      <c r="D13" s="16" t="inlineStr">
        <is>
          <t>Als Nutzer mit einer unklaren oder unvollständigen Anfrage möchte ich eine gezielte Rückfrage erhalten, damit mein Anliegen richtig verstanden wird.</t>
        </is>
      </c>
      <c r="E13" s="16" t="n">
        <v>3</v>
      </c>
      <c r="F13" s="16" t="n">
        <v>3</v>
      </c>
      <c r="G13" s="18">
        <f>(E13+F13)/2</f>
        <v/>
      </c>
      <c r="H13" s="16" t="n">
        <v>8</v>
      </c>
      <c r="I13" s="16" t="inlineStr">
        <is>
          <t>Kern</t>
        </is>
      </c>
      <c r="J13" s="16">
        <f>COUNTIFS(Tasks!$B$4:$B$1000,A13,Tasks!$M$4:$M$1000,"&lt;&gt;Gestrichen")</f>
        <v/>
      </c>
      <c r="K13" s="16" t="inlineStr">
        <is>
          <t>Zustandsverwaltung und sinnvolle Rückfrageauswahl mit fachlicher Abstimmung.</t>
        </is>
      </c>
      <c r="L13" s="16" t="inlineStr">
        <is>
          <t>Erlaubt</t>
        </is>
      </c>
      <c r="M13" s="16" t="n"/>
    </row>
    <row r="14" ht="109.5" customHeight="1" s="11">
      <c r="A14" s="15" t="inlineStr">
        <is>
          <t>U011</t>
        </is>
      </c>
      <c r="B14" s="15" t="inlineStr">
        <is>
          <t>M2</t>
        </is>
      </c>
      <c r="C14" s="15" t="inlineStr">
        <is>
          <t>Fehlende oder veraltete Daten erkennen</t>
        </is>
      </c>
      <c r="D14" s="15" t="inlineStr">
        <is>
          <t>Als Nutzer möchte ich erfahren, wenn Daten fehlen, veraltet oder technisch nicht verfügbar sind, damit ich die Grenzen einer Anzeige oder Analyse verstehe.</t>
        </is>
      </c>
      <c r="E14" s="15" t="n">
        <v>3</v>
      </c>
      <c r="F14" s="15" t="n">
        <v>2</v>
      </c>
      <c r="G14" s="17">
        <f>(E14+F14)/2</f>
        <v/>
      </c>
      <c r="H14" s="15" t="n">
        <v>5</v>
      </c>
      <c r="I14" s="15" t="inlineStr">
        <is>
          <t>Kern</t>
        </is>
      </c>
      <c r="J14" s="15">
        <f>COUNTIFS(Tasks!$B$4:$B$1000,A14,Tasks!$M$4:$M$1000,"&lt;&gt;Gestrichen")</f>
        <v/>
      </c>
      <c r="K14" s="15" t="inlineStr">
        <is>
          <t>Datenzustände und Fehlermeldungen sind gut eingrenzbar; Definition von Aktualität verlangt etwas Recherche.</t>
        </is>
      </c>
      <c r="L14" s="15" t="inlineStr">
        <is>
          <t>Erlaubt</t>
        </is>
      </c>
      <c r="M14" s="15" t="n"/>
    </row>
    <row r="15" ht="109.5" customHeight="1" s="11">
      <c r="A15" s="16" t="inlineStr">
        <is>
          <t>U012</t>
        </is>
      </c>
      <c r="B15" s="16" t="inlineStr">
        <is>
          <t>M3</t>
        </is>
      </c>
      <c r="C15" s="16" t="inlineStr">
        <is>
          <t>Eigene Angaben im Dialog korrigieren</t>
        </is>
      </c>
      <c r="D15" s="16" t="inlineStr">
        <is>
          <t>Als Nutzer möchte ich eine falsch verstandene Angabe korrigieren können, damit die weitere Antwort auf dem richtigen Gesprächskontext beruht.</t>
        </is>
      </c>
      <c r="E15" s="16" t="n">
        <v>3</v>
      </c>
      <c r="F15" s="16" t="n">
        <v>2</v>
      </c>
      <c r="G15" s="18">
        <f>(E15+F15)/2</f>
        <v/>
      </c>
      <c r="H15" s="16" t="n">
        <v>5</v>
      </c>
      <c r="I15" s="16" t="inlineStr">
        <is>
          <t>Kern</t>
        </is>
      </c>
      <c r="J15" s="16">
        <f>COUNTIFS(Tasks!$B$4:$B$1000,A15,Tasks!$M$4:$M$1000,"&lt;&gt;Gestrichen")</f>
        <v/>
      </c>
      <c r="K15" s="16" t="inlineStr">
        <is>
          <t>Gezielte Zustandsänderung und erneutes Routing; wenig externe Recherche, aber klare Regeln für Datenherkunft.</t>
        </is>
      </c>
      <c r="L15" s="16" t="inlineStr">
        <is>
          <t>Erlaubt</t>
        </is>
      </c>
      <c r="M15" s="16" t="n"/>
    </row>
    <row r="16" ht="109.5" customHeight="1" s="11">
      <c r="A16" s="15" t="inlineStr">
        <is>
          <t>U013</t>
        </is>
      </c>
      <c r="B16" s="15" t="inlineStr">
        <is>
          <t>M3</t>
        </is>
      </c>
      <c r="C16" s="15" t="inlineStr">
        <is>
          <t>Mehrere Anliegen in einer Nachricht trennen</t>
        </is>
      </c>
      <c r="D16" s="15" t="inlineStr">
        <is>
          <t>Als Nutzer mit mehreren Anliegen möchte ich, dass der Chatbot die Anliegen getrennt behandelt und erkannte dringliche Warnzeichen priorisiert, damit eine Notfallinformation nicht durch andere Fragen verzögert wird.</t>
        </is>
      </c>
      <c r="E16" s="15" t="n">
        <v>4</v>
      </c>
      <c r="F16" s="15" t="n">
        <v>2</v>
      </c>
      <c r="G16" s="17">
        <f>(E16+F16)/2</f>
        <v/>
      </c>
      <c r="H16" s="15" t="n">
        <v>8</v>
      </c>
      <c r="I16" s="15" t="inlineStr">
        <is>
          <t>Kern</t>
        </is>
      </c>
      <c r="J16" s="15">
        <f>COUNTIFS(Tasks!$B$4:$B$1000,A16,Tasks!$M$4:$M$1000,"&lt;&gt;Gestrichen")</f>
        <v/>
      </c>
      <c r="K16" s="15" t="inlineStr">
        <is>
          <t>Mehrfachanliegen bleiben der Schwerpunkt. Warnzeichen haben Vorrang; Zusammenspiel mit U001 fachlich prüfen.</t>
        </is>
      </c>
      <c r="L16" s="15" t="inlineStr">
        <is>
          <t>Umgebaut</t>
        </is>
      </c>
      <c r="M16" s="15" t="inlineStr">
        <is>
          <t>Umgebaut nach D08: Mehrfachanliegen trennen. Enthält ein Anliegen ein Warnzeichen-Stichwort, steht der feste Notfallhinweis aus U001 zuerst. Keine Dringlichkeitsrangfolge.</t>
        </is>
      </c>
    </row>
    <row r="17" ht="109.5" customHeight="1" s="11">
      <c r="A17" s="16" t="inlineStr">
        <is>
          <t>U014</t>
        </is>
      </c>
      <c r="B17" s="16" t="inlineStr">
        <is>
          <t>M3</t>
        </is>
      </c>
      <c r="C17" s="16" t="inlineStr">
        <is>
          <t>Arztzusammenfassung als PDF</t>
        </is>
      </c>
      <c r="D17" s="16" t="inlineStr">
        <is>
          <t>Als Nutzer möchte ich eine Vorschau meiner berichteten Beschwerden, ihrer Dauer und ausgewählter eigener Daten prüfen und als PDF herunterladen, damit ich diese beim Arzttermin strukturiert vorlegen kann.</t>
        </is>
      </c>
      <c r="E17" s="16" t="n">
        <v>3</v>
      </c>
      <c r="F17" s="16" t="n">
        <v>3</v>
      </c>
      <c r="G17" s="18">
        <f>(E17+F17)/2</f>
        <v/>
      </c>
      <c r="H17" s="16" t="n">
        <v>8</v>
      </c>
      <c r="I17" s="16" t="inlineStr">
        <is>
          <t>Ergänzung</t>
        </is>
      </c>
      <c r="J17" s="16">
        <f>COUNTIFS(Tasks!$B$4:$B$1000,A17,Tasks!$M$4:$M$1000,"&lt;&gt;Gestrichen")</f>
        <v/>
      </c>
      <c r="K17" s="16" t="inlineStr">
        <is>
          <t>Zwei Vorschläge zusammengeführt. M3 statt M2, da strukturierter Symptomdialog benötigt wird. Selbstauskunft, Datenquellen und Chatbot-Hinweise unterscheiden; keine Diagnose oder automatische Übermittlung.</t>
        </is>
      </c>
      <c r="L17" s="16" t="inlineStr">
        <is>
          <t>Umgebaut</t>
        </is>
      </c>
      <c r="M17" s="16" t="inlineStr">
        <is>
          <t>Umgebaut nach D08: nur Selbstauskunft und eigene Daten mit Quelle. Keine Chatbot-Einschätzung im PDF, keine automatische Übermittlung.</t>
        </is>
      </c>
    </row>
    <row r="18" ht="109.5" customHeight="1" s="11">
      <c r="A18" s="15" t="inlineStr">
        <is>
          <t>U015</t>
        </is>
      </c>
      <c r="B18" s="15" t="inlineStr">
        <is>
          <t>M3</t>
        </is>
      </c>
      <c r="C18" s="15" t="inlineStr">
        <is>
          <t>Antworten bewerten</t>
        </is>
      </c>
      <c r="D18" s="15" t="inlineStr">
        <is>
          <t>Als Nutzer möchte ich Antworten positiv oder negativ bewerten und optional begründen, damit das Projektteam Fehler untersuchen und Verbesserungen gezielt prüfen kann.</t>
        </is>
      </c>
      <c r="E18" s="15" t="n">
        <v>2</v>
      </c>
      <c r="F18" s="15" t="n">
        <v>2</v>
      </c>
      <c r="G18" s="17">
        <f>(E18+F18)/2</f>
        <v/>
      </c>
      <c r="H18" s="15" t="n">
        <v>5</v>
      </c>
      <c r="I18" s="15" t="inlineStr">
        <is>
          <t>Ergänzung</t>
        </is>
      </c>
      <c r="J18" s="15">
        <f>COUNTIFS(Tasks!$B$4:$B$1000,A18,Tasks!$M$4:$M$1000,"&lt;&gt;Gestrichen")</f>
        <v/>
      </c>
      <c r="K18" s="15" t="inlineStr">
        <is>
          <t>Feedback wird gesammelt und geprüft. Es löst weder automatisches Training noch ungeprüfte Promptänderungen aus; nur erforderlichen Kontext speichern.</t>
        </is>
      </c>
      <c r="L18" s="15" t="inlineStr">
        <is>
          <t>Erlaubt</t>
        </is>
      </c>
      <c r="M18" s="15" t="n"/>
    </row>
    <row r="19" ht="109.5" customHeight="1" s="11">
      <c r="A19" s="16" t="inlineStr">
        <is>
          <t>U016</t>
        </is>
      </c>
      <c r="B19" s="16" t="inlineStr">
        <is>
          <t>M4</t>
        </is>
      </c>
      <c r="C19" s="16" t="inlineStr">
        <is>
          <t>An Datenaktualisierung erinnern</t>
        </is>
      </c>
      <c r="D19" s="16" t="inlineStr">
        <is>
          <t>Als Nutzer möchte ich freiwillige Erinnerungen für selbst gewählte Messdaten aktivieren, ändern und abschalten können, damit ich fehlende oder ältere Angaben bei Bedarf ergänze.</t>
        </is>
      </c>
      <c r="E19" s="16" t="n">
        <v>3</v>
      </c>
      <c r="F19" s="16" t="n">
        <v>3</v>
      </c>
      <c r="G19" s="18">
        <f>(E19+F19)/2</f>
        <v/>
      </c>
      <c r="H19" s="16" t="n">
        <v>8</v>
      </c>
      <c r="I19" s="16" t="inlineStr">
        <is>
          <t>Optional</t>
        </is>
      </c>
      <c r="J19" s="16">
        <f>COUNTIFS(Tasks!$B$4:$B$1000,A19,Tasks!$M$4:$M$1000,"&lt;&gt;Gestrichen")</f>
        <v/>
      </c>
      <c r="K19" s="16" t="inlineStr">
        <is>
          <t>Zunächst Erinnerungen innerhalb der App. Push, E-Mail und medizinisch festgelegte Messintervalle sind nicht enthalten. Aktualität garantiert keine präzise Diagnose.</t>
        </is>
      </c>
      <c r="L19" s="16" t="inlineStr">
        <is>
          <t>Erlaubt</t>
        </is>
      </c>
      <c r="M19" s="16" t="n"/>
    </row>
    <row r="20" ht="109.5" customHeight="1" s="11">
      <c r="A20" s="15" t="inlineStr">
        <is>
          <t>U017</t>
        </is>
      </c>
      <c r="B20" s="15" t="inlineStr">
        <is>
          <t>M1</t>
        </is>
      </c>
      <c r="C20" s="15" t="inlineStr">
        <is>
          <t>Deutsch und Englisch wählen</t>
        </is>
      </c>
      <c r="D20" s="15" t="inlineStr">
        <is>
          <t>Als Nutzer möchte ich Deutsch oder Englisch für Eingaben und Antworten wählen können, damit ich die unterstützten Funktionen in einer verständlichen Sprache nutzen kann.</t>
        </is>
      </c>
      <c r="E20" s="15" t="n">
        <v>3</v>
      </c>
      <c r="F20" s="15" t="n">
        <v>4</v>
      </c>
      <c r="G20" s="17">
        <f>(E20+F20)/2</f>
        <v/>
      </c>
      <c r="H20" s="15" t="n">
        <v>8</v>
      </c>
      <c r="I20" s="15" t="inlineStr">
        <is>
          <t>Kern</t>
        </is>
      </c>
      <c r="J20" s="15">
        <f>COUNTIFS(Tasks!$B$4:$B$1000,A20,Tasks!$M$4:$M$1000,"&lt;&gt;Gestrichen")</f>
        <v/>
      </c>
      <c r="K20" s="15" t="inlineStr">
        <is>
          <t>Zusätzlich zur deutschsprachigen Basis. Rückfragen, Fehlermeldungen und fachliche Texte in beiden Sprachen prüfen; keine unbegrenzte Sprachunterstützung oder Sicherheitsgarantie.</t>
        </is>
      </c>
      <c r="L20" s="15" t="inlineStr">
        <is>
          <t>Erlaubt</t>
        </is>
      </c>
      <c r="M20" s="15" t="inlineStr">
        <is>
          <t>Entscheidung DE/EN 14.10.2026</t>
        </is>
      </c>
    </row>
    <row r="21" ht="109.5" customHeight="1" s="11">
      <c r="A21" s="16" t="inlineStr">
        <is>
          <t>U018</t>
        </is>
      </c>
      <c r="B21" s="16" t="inlineStr">
        <is>
          <t>M4</t>
        </is>
      </c>
      <c r="C21" s="16" t="inlineStr">
        <is>
          <t>Medikamente als Kontext angeben</t>
        </is>
      </c>
      <c r="D21" s="16" t="inlineStr">
        <is>
          <t>Als Nutzer möchte ich aktuell eingenommene Medikamente als Selbstauskunft angeben können, damit diese bei Rückfragen und der Vorbereitung einer ärztlichen oder pharmazeutischen Abklärung berücksichtigt werden.</t>
        </is>
      </c>
      <c r="E21" s="16" t="n">
        <v>4</v>
      </c>
      <c r="F21" s="16" t="n">
        <v>5</v>
      </c>
      <c r="G21" s="18">
        <f>(E21+F21)/2</f>
        <v/>
      </c>
      <c r="H21" s="16" t="n">
        <v>13</v>
      </c>
      <c r="I21" s="16" t="inlineStr">
        <is>
          <t>Gestrichen</t>
        </is>
      </c>
      <c r="J21" s="16">
        <f>COUNTIFS(Tasks!$B$4:$B$1000,A21,Tasks!$M$4:$M$1000,"&lt;&gt;Gestrichen")</f>
        <v/>
      </c>
      <c r="K21" s="16" t="inlineStr">
        <is>
          <t>Eingabe bestätigt nicht die Richtigkeit der Medikation. Keine automatische Wechselwirkungsprüfung, Therapieänderung oder Kausaldiagnose. Dafür wären zusätzliche geeignete Arzneimittelquellen und fachliche Validierung nötig.</t>
        </is>
      </c>
      <c r="L21" s="16" t="inlineStr">
        <is>
          <t>Gestrichen</t>
        </is>
      </c>
      <c r="M21" s="16" t="inlineStr">
        <is>
          <t>Medikation als Kontext ohne Auswertung bringt keinen Nutzen; Auswertung wäre Medizinprodukt-Funktion.</t>
        </is>
      </c>
    </row>
    <row r="22" ht="109.5" customHeight="1" s="11">
      <c r="A22" s="15" t="inlineStr">
        <is>
          <t>U019</t>
        </is>
      </c>
      <c r="B22" s="15" t="inlineStr">
        <is>
          <t>M2</t>
        </is>
      </c>
      <c r="C22" s="15" t="inlineStr">
        <is>
          <t>Eigenes Gesundheitsprofil pflegen</t>
        </is>
      </c>
      <c r="D22" s="15" t="inlineStr">
        <is>
          <t>Als Nutzer möchte ich ausgewählte Angaben wie Allergien, Vorerkrankungen und relevante Vorgeschichte in meinem Profil ansehen und als Selbstauskunft ergänzen oder korrigieren, damit der freigegebene Kontext berücksichtigt werden kann.</t>
        </is>
      </c>
      <c r="E22" s="15" t="n">
        <v>4</v>
      </c>
      <c r="F22" s="15" t="n">
        <v>3</v>
      </c>
      <c r="G22" s="17">
        <f>(E22+F22)/2</f>
        <v/>
      </c>
      <c r="H22" s="15" t="n">
        <v>13</v>
      </c>
      <c r="I22" s="15" t="inlineStr">
        <is>
          <t>Optional</t>
        </is>
      </c>
      <c r="J22" s="15">
        <f>COUNTIFS(Tasks!$B$4:$B$1000,A22,Tasks!$M$4:$M$1000,"&lt;&gt;Gestrichen")</f>
        <v/>
      </c>
      <c r="K22" s="15" t="inlineStr">
        <is>
          <t>Erweitert den bisherigen lesenden Umfang: eigene Angaben getrennt von importierten Befunden speichern. Keine ungeprüfte Änderung fremder FHIR-Daten; Herkunft und Aktualität kennzeichnen.</t>
        </is>
      </c>
      <c r="L22" s="15" t="inlineStr">
        <is>
          <t>Umgebaut</t>
        </is>
      </c>
      <c r="M22" s="15" t="inlineStr">
        <is>
          <t>Umgebaut nach D08: Profil wird gespeichert, angezeigt und für das PDF genutzt, aber nicht zur Bewertung von Werten oder Beschwerden.</t>
        </is>
      </c>
    </row>
    <row r="23" ht="109.5" customHeight="1" s="11">
      <c r="A23" s="16" t="inlineStr">
        <is>
          <t>U020</t>
        </is>
      </c>
      <c r="B23" s="16" t="inlineStr">
        <is>
          <t>M4</t>
        </is>
      </c>
      <c r="C23" s="16" t="inlineStr">
        <is>
          <t>Symptome im Verlauf dokumentieren</t>
        </is>
      </c>
      <c r="D23" s="16" t="inlineStr">
        <is>
          <t>Als Nutzer möchte ich Beschwerden mit Zeitpunkt, Dauer und selbst eingeschätzter Stärke erfassen und im Verlauf ansehen, damit ich Veränderungen nachvollziehen und beim Arzttermin beschreiben kann.</t>
        </is>
      </c>
      <c r="E23" s="16" t="n">
        <v>4</v>
      </c>
      <c r="F23" s="16" t="n">
        <v>3</v>
      </c>
      <c r="G23" s="18">
        <f>(E23+F23)/2</f>
        <v/>
      </c>
      <c r="H23" s="16" t="n">
        <v>13</v>
      </c>
      <c r="I23" s="16" t="inlineStr">
        <is>
          <t>Optional</t>
        </is>
      </c>
      <c r="J23" s="16">
        <f>COUNTIFS(Tasks!$B$4:$B$1000,A23,Tasks!$M$4:$M$1000,"&lt;&gt;Gestrichen")</f>
        <v/>
      </c>
      <c r="K23" s="16" t="inlineStr">
        <is>
          <t>Neue dauerhafte Speicherung und Verlaufseingabe, daher eigenständig neben U006. Korrektur und Löschung vorsehen; ein Verlauf belegt keine Ursache.</t>
        </is>
      </c>
      <c r="L23" s="16" t="inlineStr">
        <is>
          <t>Erlaubt</t>
        </is>
      </c>
      <c r="M23" s="16" t="n"/>
    </row>
    <row r="24" ht="109.5" customHeight="1" s="11">
      <c r="A24" s="15" t="inlineStr">
        <is>
          <t>U021</t>
        </is>
      </c>
      <c r="B24" s="15" t="inlineStr">
        <is>
          <t>M3</t>
        </is>
      </c>
      <c r="C24" s="15" t="inlineStr">
        <is>
          <t>Widersprüchliche Angaben klären</t>
        </is>
      </c>
      <c r="D24" s="15" t="inlineStr">
        <is>
          <t>Als Nutzer möchte ich bei widersprüchlichen Angaben zu Zeitpunkt, Wert, Person oder Selbstauskunft gezielt gefragt werden, damit bestätigte und weiterhin unklare Informationen unterscheidbar bleiben.</t>
        </is>
      </c>
      <c r="E24" s="15" t="n">
        <v>4</v>
      </c>
      <c r="F24" s="15" t="n">
        <v>3</v>
      </c>
      <c r="G24" s="17">
        <f>(E24+F24)/2</f>
        <v/>
      </c>
      <c r="H24" s="15" t="n">
        <v>8</v>
      </c>
      <c r="I24" s="15" t="inlineStr">
        <is>
          <t>Ergänzung</t>
        </is>
      </c>
      <c r="J24" s="15">
        <f>COUNTIFS(Tasks!$B$4:$B$1000,A24,Tasks!$M$4:$M$1000,"&lt;&gt;Gestrichen")</f>
        <v/>
      </c>
      <c r="K24" s="15" t="inlineStr">
        <is>
          <t>U010 behandelt fehlende Angaben, U012 aktive Nutzerkorrekturen. Diese Story ergänzt proaktive Konflikterkennung. Unterschiedliche Messzeiten sind nicht automatisch ein Widerspruch; Befunde nicht still überschreiben.</t>
        </is>
      </c>
      <c r="L24" s="15" t="inlineStr">
        <is>
          <t>Erlaubt</t>
        </is>
      </c>
      <c r="M24" s="15" t="n"/>
    </row>
    <row r="25" ht="109.5" customHeight="1" s="11">
      <c r="A25" s="16" t="inlineStr">
        <is>
          <t>U022</t>
        </is>
      </c>
      <c r="B25" s="16" t="inlineStr">
        <is>
          <t>M2</t>
        </is>
      </c>
      <c r="C25" s="16" t="inlineStr">
        <is>
          <t>Festgelegte FHIR-JSON-Daten importieren</t>
        </is>
      </c>
      <c r="D25" s="16" t="inlineStr">
        <is>
          <t>Als Nutzer möchte ich eigene Daten aus einer unterstützten FHIR-JSON-Datei importieren und vor Übernahme prüfen können, damit weitere Daten mit nachvollziehbarer Herkunft verfügbar werden.</t>
        </is>
      </c>
      <c r="E25" s="16" t="n">
        <v>4</v>
      </c>
      <c r="F25" s="16" t="n">
        <v>4</v>
      </c>
      <c r="G25" s="18">
        <f>(E25+F25)/2</f>
        <v/>
      </c>
      <c r="H25" s="16" t="n">
        <v>13</v>
      </c>
      <c r="I25" s="16" t="inlineStr">
        <is>
          <t>Optional</t>
        </is>
      </c>
      <c r="J25" s="16">
        <f>COUNTIFS(Tasks!$B$4:$B$1000,A25,Tasks!$M$4:$M$1000,"&lt;&gt;Gestrichen")</f>
        <v/>
      </c>
      <c r="K25" s="16" t="inlineStr">
        <is>
          <t>Für den Prototyp nur synthetische Dateien, vereinbarte FHIR-Version und Ressourcen. Größen-, Struktur-, Patienten- und Dublettenprüfung. Kein beliebiges JSON-Mapping, PDF/OCR oder automatischer Wearable-Liveimport. 13 UP statt vorgeschlagener 8 wegen Importvalidierung und Speicherung.</t>
        </is>
      </c>
      <c r="L25" s="16" t="inlineStr">
        <is>
          <t>Erlaubt</t>
        </is>
      </c>
      <c r="M25" s="16" t="n"/>
    </row>
    <row r="26" ht="109.5" customHeight="1" s="11">
      <c r="A26" s="15" t="inlineStr">
        <is>
          <t>U023</t>
        </is>
      </c>
      <c r="B26" s="15" t="inlineStr">
        <is>
          <t>M2</t>
        </is>
      </c>
      <c r="C26" s="15" t="inlineStr">
        <is>
          <t>Datennutzung je Quelle steuern</t>
        </is>
      </c>
      <c r="D26" s="15" t="inlineStr">
        <is>
          <t>Als Nutzer möchte ich sehen, welche Datenquellen für welchen Zweck genutzt werden, und eine darauf beruhende Freigabe erteilen oder widerrufen können, damit ich die weitere Nutzung kontrollieren kann.</t>
        </is>
      </c>
      <c r="E26" s="15" t="n">
        <v>4</v>
      </c>
      <c r="F26" s="15" t="n">
        <v>5</v>
      </c>
      <c r="G26" s="17">
        <f>(E26+F26)/2</f>
        <v/>
      </c>
      <c r="H26" s="15" t="n">
        <v>13</v>
      </c>
      <c r="I26" s="15" t="inlineStr">
        <is>
          <t>Voraussetzung für Speicherung</t>
        </is>
      </c>
      <c r="J26" s="15">
        <f>COUNTIFS(Tasks!$B$4:$B$1000,A26,Tasks!$M$4:$M$1000,"&lt;&gt;Gestrichen")</f>
        <v/>
      </c>
      <c r="K26" s="15" t="inlineStr">
        <is>
          <t>Aus Sammelstory getrennt. Widerruf sperrt die betreffende weitere Verarbeitung; er ist nicht dasselbe wie Löschung. Rechtsgrundlage, Zwecke und Projektumfang mit Betreuung/Datenschutz klären. Keine pauschale Zusage der DSGVO-Konformität.</t>
        </is>
      </c>
      <c r="L26" s="15" t="inlineStr">
        <is>
          <t>Erlaubt</t>
        </is>
      </c>
      <c r="M26" s="15" t="n"/>
    </row>
    <row r="27" ht="109.5" customHeight="1" s="11">
      <c r="A27" s="16" t="inlineStr">
        <is>
          <t>U024</t>
        </is>
      </c>
      <c r="B27" s="16" t="inlineStr">
        <is>
          <t>M2</t>
        </is>
      </c>
      <c r="C27" s="16" t="inlineStr">
        <is>
          <t>Gespeicherte eigene Daten löschen</t>
        </is>
      </c>
      <c r="D27" s="16" t="inlineStr">
        <is>
          <t>Als Nutzer möchte ich meine in der Anwendung gespeicherten Chats, Selbstauskünfte und importierten Daten auswählen und deren Löschung bestätigen können, damit ich die gespeicherten Informationen kontrollieren kann.</t>
        </is>
      </c>
      <c r="E27" s="16" t="n">
        <v>4</v>
      </c>
      <c r="F27" s="16" t="n">
        <v>4</v>
      </c>
      <c r="G27" s="18">
        <f>(E27+F27)/2</f>
        <v/>
      </c>
      <c r="H27" s="16" t="n">
        <v>13</v>
      </c>
      <c r="I27" s="16" t="inlineStr">
        <is>
          <t>Voraussetzung für Speicherung</t>
        </is>
      </c>
      <c r="J27" s="16">
        <f>COUNTIFS(Tasks!$B$4:$B$1000,A27,Tasks!$M$4:$M$1000,"&lt;&gt;Gestrichen")</f>
        <v/>
      </c>
      <c r="K27" s="16" t="inlineStr">
        <is>
          <t>Aus Sammelstory getrennt. Umfang, Fristen, Protokolle und Sicherungskopien klären. Keine Zusage, fremde Originalakten oder alle externen Kopien sofort und ausnahmslos löschen zu können.</t>
        </is>
      </c>
      <c r="L27" s="16" t="inlineStr">
        <is>
          <t>Erlaubt</t>
        </is>
      </c>
      <c r="M27" s="16" t="n"/>
    </row>
    <row r="28" ht="109.5" customHeight="1" s="11">
      <c r="A28" s="15" t="inlineStr">
        <is>
          <t>U025</t>
        </is>
      </c>
      <c r="B28" s="15" t="inlineStr">
        <is>
          <t>M3</t>
        </is>
      </c>
      <c r="C28" s="15" t="inlineStr">
        <is>
          <t>Gesprächskontext innerhalb eines Chats</t>
        </is>
      </c>
      <c r="D28" s="15" t="inlineStr">
        <is>
          <t>Als Nutzer möchte ich, dass bestätigte Angaben innerhalb meines aktuellen Chats berücksichtigt werden, damit ich mich bei Folgefragen nicht wiederholen muss.</t>
        </is>
      </c>
      <c r="E28" s="15" t="n">
        <v>3</v>
      </c>
      <c r="F28" s="15" t="n">
        <v>2</v>
      </c>
      <c r="G28" s="17">
        <f>(E28+F28)/2</f>
        <v/>
      </c>
      <c r="H28" s="15" t="n">
        <v>5</v>
      </c>
      <c r="I28" s="15" t="inlineStr">
        <is>
          <t>Kern</t>
        </is>
      </c>
      <c r="J28" s="15">
        <f>COUNTIFS(Tasks!$B$4:$B$1000,A28,Tasks!$M$4:$M$1000,"&lt;&gt;Gestrichen")</f>
        <v/>
      </c>
      <c r="K28" s="15" t="inlineStr">
        <is>
          <t>Sitzungsgebundener Kontext, keine chatübergreifende Erinnerung. Neues Gespräch setzt Kontext zurück; begrenztes Kontextfenster und Korrekturen mit U012 abstimmen.</t>
        </is>
      </c>
      <c r="L28" s="15" t="inlineStr">
        <is>
          <t>Erlaubt</t>
        </is>
      </c>
      <c r="M28" s="15" t="n"/>
    </row>
    <row r="29" ht="109.5" customHeight="1" s="11">
      <c r="A29" s="16" t="inlineStr">
        <is>
          <t>U026</t>
        </is>
      </c>
      <c r="B29" s="16" t="inlineStr">
        <is>
          <t>M1</t>
        </is>
      </c>
      <c r="C29" s="16" t="inlineStr">
        <is>
          <t>Bearbeitungsstatus und Fehler erkennen</t>
        </is>
      </c>
      <c r="D29" s="16" t="inlineStr">
        <is>
          <t>Als Nutzer möchte ich nach dem Absenden einen Bearbeitungsstatus sehen und bei Zeitüberschreitung eine verständliche Fehlermeldung mit Wiederholungsmöglichkeit erhalten, damit ich weiß, ob meine Anfrage bearbeitet wird.</t>
        </is>
      </c>
      <c r="E29" s="16" t="n">
        <v>2</v>
      </c>
      <c r="F29" s="16" t="n">
        <v>1</v>
      </c>
      <c r="G29" s="18">
        <f>(E29+F29)/2</f>
        <v/>
      </c>
      <c r="H29" s="16" t="n">
        <v>3</v>
      </c>
      <c r="I29" s="16" t="inlineStr">
        <is>
          <t>Kern</t>
        </is>
      </c>
      <c r="J29" s="16">
        <f>COUNTIFS(Tasks!$B$4:$B$1000,A29,Tasks!$M$4:$M$1000,"&lt;&gt;Gestrichen")</f>
        <v/>
      </c>
      <c r="K29" s="16" t="inlineStr">
        <is>
          <t>Nutzerziel ergänzt E002/E003, keine zweite Task-Schätzung. Timeout konfigurierbar; keine feste Antwortzeit ohne Messung versprechen.</t>
        </is>
      </c>
      <c r="L29" s="16" t="inlineStr">
        <is>
          <t>Erlaubt</t>
        </is>
      </c>
      <c r="M29" s="16" t="n"/>
    </row>
    <row r="30" ht="109.5" customHeight="1" s="11">
      <c r="A30" s="15" t="inlineStr">
        <is>
          <t>U027</t>
        </is>
      </c>
      <c r="B30" s="15" t="inlineStr">
        <is>
          <t>M1</t>
        </is>
      </c>
      <c r="C30" s="15" t="inlineStr">
        <is>
          <t>Chat-Verarbeitung freigeben oder ablehnen</t>
        </is>
      </c>
      <c r="D30" s="15" t="inlineStr">
        <is>
          <t>Als Nutzer möchte ich vor der Verarbeitung meiner gesundheitsbezogenen Eingabe ausdrücklich zustimmen, ablehnen oder meine Zustimmung später widerrufen können, damit ich die weitere Chat-Verarbeitung kontrolliere.</t>
        </is>
      </c>
      <c r="E30" s="15" t="n">
        <v>3</v>
      </c>
      <c r="F30" s="15" t="n">
        <v>4</v>
      </c>
      <c r="G30" s="17">
        <f>(E30+F30)/2</f>
        <v/>
      </c>
      <c r="H30" s="15" t="n">
        <v>8</v>
      </c>
      <c r="I30" s="15" t="inlineStr">
        <is>
          <t>Kern</t>
        </is>
      </c>
      <c r="J30" s="15">
        <f>COUNTIFS(Tasks!$B$4:$B$1000,A30,Tasks!$M$4:$M$1000,"&lt;&gt;Gestrichen")</f>
        <v/>
      </c>
      <c r="K30" s="15" t="inlineStr">
        <is>
          <t>M1: Chat-Einwilligung mit serverseitiger Prüfung vor Modellaufruf. U023 bleibt quellenbezogene Steuerung in M2; U024 bleibt Löschung. Prototyp mit synthetischen Daten, keine Rechtskonformitätszusage.</t>
        </is>
      </c>
      <c r="L30" s="15" t="inlineStr">
        <is>
          <t>Erlaubt</t>
        </is>
      </c>
      <c r="M30" s="15" t="n"/>
    </row>
    <row r="31" ht="109.5" customHeight="1" s="11">
      <c r="A31" s="16" t="inlineStr">
        <is>
          <t>U028</t>
        </is>
      </c>
      <c r="B31" s="16" t="inlineStr">
        <is>
          <t>M1</t>
        </is>
      </c>
      <c r="C31" s="16" t="inlineStr">
        <is>
          <t>KI und Grenzen sichtbar erkennen</t>
        </is>
      </c>
      <c r="D31" s="16" t="inlineStr">
        <is>
          <t>Als Nutzer möchte ich vor dem Chat erfahren, dass ich mit einer KI und keinem Arzt spreche, und die KI-Kennzeichnung dauerhaft sehen, damit ich die Herkunft und Grenzen der Antworten verstehe.</t>
        </is>
      </c>
      <c r="E31" s="16" t="n">
        <v>1</v>
      </c>
      <c r="F31" s="16" t="n">
        <v>2</v>
      </c>
      <c r="G31" s="18">
        <f>(E31+F31)/2</f>
        <v/>
      </c>
      <c r="H31" s="16" t="n">
        <v>2</v>
      </c>
      <c r="I31" s="16" t="inlineStr">
        <is>
          <t>Kern</t>
        </is>
      </c>
      <c r="J31" s="16">
        <f>COUNTIFS(Tasks!$B$4:$B$1000,A31,Tasks!$M$4:$M$1000,"&lt;&gt;Gestrichen")</f>
        <v/>
      </c>
      <c r="K31" s="16" t="inlineStr">
        <is>
          <t>Versionierter Hinweis vor Zustimmung; dauerhafte Kennzeichnung im Header. Kein Ersatz für medizinische Versorgung.</t>
        </is>
      </c>
      <c r="L31" s="16" t="inlineStr">
        <is>
          <t>Erlaubt</t>
        </is>
      </c>
      <c r="M31" s="16" t="n"/>
    </row>
    <row r="32" ht="109.5" customHeight="1" s="11">
      <c r="A32" s="15" t="inlineStr">
        <is>
          <t>U029</t>
        </is>
      </c>
      <c r="B32" s="15" t="inlineStr">
        <is>
          <t>M4</t>
        </is>
      </c>
      <c r="C32" s="15" t="inlineStr">
        <is>
          <t>Bewegungsdaten und Trainingsziele besprechen</t>
        </is>
      </c>
      <c r="D32" s="15" t="inlineStr">
        <is>
          <t>Als Nutzer möchte ich meine freigegebenen Bewegungsdaten und Trainingsziele gemeinsam betrachten und allgemeine Hinweise dazu erhalten, damit ich Fragen für eine fachliche Trainingsberatung vorbereiten kann.</t>
        </is>
      </c>
      <c r="E32" s="15" t="n">
        <v>4</v>
      </c>
      <c r="F32" s="15" t="n">
        <v>5</v>
      </c>
      <c r="G32" s="17">
        <f>(E32+F32)/2</f>
        <v/>
      </c>
      <c r="H32" s="15" t="n">
        <v>13</v>
      </c>
      <c r="I32" s="15" t="inlineStr">
        <is>
          <t>Optional</t>
        </is>
      </c>
      <c r="J32" s="15">
        <f>COUNTIFS(Tasks!$B$4:$B$1000,A32,Tasks!$M$4:$M$1000,"&lt;&gt;Gestrichen")</f>
        <v/>
      </c>
      <c r="K32" s="15" t="inlineStr">
        <is>
          <t>Aus Trainings-/Ernährungs-Epic getrennt. Keine sichere individuelle Belastungsfreigabe oder Garantie der Zielerreichung; bekannte Erkrankungen berücksichtigen. U006 liefert die Datenanalyse.</t>
        </is>
      </c>
      <c r="L32" s="15" t="inlineStr">
        <is>
          <t>Umgebaut</t>
        </is>
      </c>
      <c r="M32" s="15" t="inlineStr">
        <is>
          <t>Umgebaut nach D08: allgemeine Bewegungs- und Lifestyle-Information zu selbst gesetzten Zielen. Kein Bezug zu Erkrankungen, keine Belastungsfreigabe.</t>
        </is>
      </c>
    </row>
    <row r="33" ht="109.5" customHeight="1" s="11">
      <c r="A33" s="16" t="inlineStr">
        <is>
          <t>U030</t>
        </is>
      </c>
      <c r="B33" s="16" t="inlineStr">
        <is>
          <t>M4</t>
        </is>
      </c>
      <c r="C33" s="16" t="inlineStr">
        <is>
          <t>Ernährungsdaten und Ziele besprechen</t>
        </is>
      </c>
      <c r="D33" s="16" t="inlineStr">
        <is>
          <t>Als Nutzer möchte ich meine freigegebenen Ernährungsangaben und Ziele verständlich eingeordnet bekommen, damit ich allgemeine Verbesserungsmöglichkeiten und Fragen für eine Ernährungsberatung erkenne.</t>
        </is>
      </c>
      <c r="E33" s="16" t="n">
        <v>4</v>
      </c>
      <c r="F33" s="16" t="n">
        <v>5</v>
      </c>
      <c r="G33" s="18">
        <f>(E33+F33)/2</f>
        <v/>
      </c>
      <c r="H33" s="16" t="n">
        <v>13</v>
      </c>
      <c r="I33" s="16" t="inlineStr">
        <is>
          <t>Optional</t>
        </is>
      </c>
      <c r="J33" s="16">
        <f>COUNTIFS(Tasks!$B$4:$B$1000,A33,Tasks!$M$4:$M$1000,"&lt;&gt;Gestrichen")</f>
        <v/>
      </c>
      <c r="K33" s="16" t="inlineStr">
        <is>
          <t>Eigenständiger Daten- und Wissensbereich gegenüber Training. Keine therapeutischen Diätpläne, Dosierungen oder Erfolgsgarantien; Allergien und Vorerkrankungen als Kontext behandeln.</t>
        </is>
      </c>
      <c r="L33" s="16" t="inlineStr">
        <is>
          <t>Umgebaut</t>
        </is>
      </c>
      <c r="M33" s="16" t="inlineStr">
        <is>
          <t>Umgebaut nach D08: allgemeine Ernährungsinformation zu selbst gesetzten Zielen. Kein Bezug zu Erkrankungen, keine Diätpläne oder Dosierungen.</t>
        </is>
      </c>
    </row>
    <row r="34" ht="109.5" customHeight="1" s="11">
      <c r="A34" s="15" t="inlineStr">
        <is>
          <t>U031</t>
        </is>
      </c>
      <c r="B34" s="15" t="inlineStr">
        <is>
          <t>M4</t>
        </is>
      </c>
      <c r="C34" s="15" t="inlineStr">
        <is>
          <t>Vorerkrankungen bei Abweichungen berücksichtigen</t>
        </is>
      </c>
      <c r="D34" s="15" t="inlineStr">
        <is>
          <t>Als Nutzer möchte ich, dass vorhandene Erkrankungen und bekannte Ausgangswerte bei der Einordnung auffälliger Daten berücksichtigt werden, ohne neue Warnzeichen zu übergehen, damit ich eine nachvollziehbare Einordnung erhalte.</t>
        </is>
      </c>
      <c r="E34" s="15" t="n">
        <v>4</v>
      </c>
      <c r="F34" s="15" t="n">
        <v>5</v>
      </c>
      <c r="G34" s="17">
        <f>(E34+F34)/2</f>
        <v/>
      </c>
      <c r="H34" s="15" t="n">
        <v>13</v>
      </c>
      <c r="I34" s="15" t="inlineStr">
        <is>
          <t>Gestrichen</t>
        </is>
      </c>
      <c r="J34" s="15">
        <f>COUNTIFS(Tasks!$B$4:$B$1000,A34,Tasks!$M$4:$M$1000,"&lt;&gt;Gestrichen")</f>
        <v/>
      </c>
      <c r="K34" s="15" t="inlineStr">
        <is>
          <t>Nicht pauschal als normal einstufen. Neu auftretende oder veränderte Angaben separat prüfen, Unsicherheit benennen. Benötigt U006/U007 und die Versorgungsregeln aus M3.</t>
        </is>
      </c>
      <c r="L34" s="15" t="inlineStr">
        <is>
          <t>Gestrichen</t>
        </is>
      </c>
      <c r="M34" s="15" t="inlineStr">
        <is>
          <t>Auffällige Werte einer Person mit Vorerkrankungen einzuordnen ist Befundbewertung.</t>
        </is>
      </c>
    </row>
    <row r="35" ht="109.5" customHeight="1" s="11">
      <c r="A35" s="15" t="inlineStr">
        <is>
          <t>U032</t>
        </is>
      </c>
      <c r="B35" s="15" t="inlineStr">
        <is>
          <t>M4</t>
        </is>
      </c>
      <c r="C35" s="15" t="inlineStr">
        <is>
          <t>Befunddokument auslesen</t>
        </is>
      </c>
      <c r="D35" s="15" t="inlineStr">
        <is>
          <t>Als Nutzer möchte ich ein Foto oder PDF eines eigenen Befunds hochladen und die ausgelesenen Werte prüfen und bestätigen, damit sie wie importierte Daten mit Herkunft verfügbar sind.</t>
        </is>
      </c>
      <c r="E35" s="15" t="n">
        <v>4</v>
      </c>
      <c r="F35" s="15" t="n">
        <v>3</v>
      </c>
      <c r="G35" s="17">
        <f>(E35+F35)/2</f>
        <v/>
      </c>
      <c r="H35" s="15" t="n">
        <v>13</v>
      </c>
      <c r="I35" s="15" t="inlineStr">
        <is>
          <t>Optional</t>
        </is>
      </c>
      <c r="J35" s="15">
        <f>COUNTIFS(Tasks!$B$4:$B$1000,A35,Tasks!$M$4:$M$1000,"&lt;&gt;Gestrichen")</f>
        <v/>
      </c>
      <c r="K35" s="15" t="inlineStr">
        <is>
          <t>Neu (Vorschlag). Nur Abschreiben von Wert, Einheit und Datum; Bestätigung durch Nutzer ist Pflicht. Keine Bewertung, keine medizinischen Bilder (Haut, Röntgen, Wunden). Nur synthetische Befunde. Bildfähigkeit des Modells nach D03.</t>
        </is>
      </c>
      <c r="L35" s="15" t="inlineStr">
        <is>
          <t>Neu</t>
        </is>
      </c>
      <c r="M35" s="15" t="inlineStr">
        <is>
          <t>Optional für Datei- und Bildanalyse; nur Auslesen mit Bestätigung.</t>
        </is>
      </c>
    </row>
    <row r="36" ht="39.55" customHeight="1" s="11">
      <c r="A36" s="15" t="inlineStr">
        <is>
          <t>U033</t>
        </is>
      </c>
      <c r="B36" s="15" t="inlineStr">
        <is>
          <t>M2</t>
        </is>
      </c>
      <c r="C36" s="15" t="inlineStr">
        <is>
          <t>Eigene Daten auskunft und exportieren</t>
        </is>
      </c>
      <c r="D36" s="15" t="inlineStr">
        <is>
          <t>Als Nutzer möchte ich sehen, welche Daten VitaSync über mich gespeichert hat, und sie in einem gängigen Format herunterladen, damit ich meine Rechte auf Auskunft und Datenübertragbarkeit nutzen kann.</t>
        </is>
      </c>
      <c r="E36" s="15" t="n">
        <v>2</v>
      </c>
      <c r="F36" s="15" t="n">
        <v>2</v>
      </c>
      <c r="G36" s="17">
        <f>(E36+F36)/2</f>
        <v/>
      </c>
      <c r="H36" s="15" t="n">
        <v>8</v>
      </c>
      <c r="I36" s="15" t="inlineStr">
        <is>
          <t>Kern</t>
        </is>
      </c>
      <c r="J36" s="15">
        <f>COUNTIFS(Tasks!$B$4:$B$1000,A36,Tasks!$M$4:$M$1000,"&lt;&gt;Gestrichen")</f>
        <v/>
      </c>
      <c r="K36" s="15" t="inlineStr">
        <is>
          <t>Neu nach D09 (Art. 15 und 20 DSGVO). Export als JSON, Gesundheitsdaten wo möglich als FHIR. Nur eigene Daten.</t>
        </is>
      </c>
      <c r="L36" s="15" t="inlineStr">
        <is>
          <t>Neu</t>
        </is>
      </c>
      <c r="M36" s="15" t="inlineStr">
        <is>
          <t>Pflicht aus DSGVO; fehlte im Backlog.</t>
        </is>
      </c>
    </row>
  </sheetData>
  <mergeCells count="2">
    <mergeCell ref="A2:K2"/>
    <mergeCell ref="A1:K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3.xml><?xml version="1.0" encoding="utf-8"?>
<worksheet xmlns="http://schemas.openxmlformats.org/spreadsheetml/2006/main">
  <sheetPr filterMode="0">
    <outlinePr summaryBelow="1" summaryRight="1"/>
    <pageSetUpPr fitToPage="0"/>
  </sheetPr>
  <dimension ref="A1:T14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9" customWidth="1" style="10" min="1" max="1"/>
    <col width="12" customWidth="1" style="10" min="2" max="2"/>
    <col width="13" customWidth="1" style="10" min="3" max="4"/>
    <col width="43" customWidth="1" style="10" min="5" max="5"/>
    <col width="13" customWidth="1" style="10" min="6" max="6"/>
    <col width="14" customWidth="1" style="10" min="7" max="7"/>
    <col width="13" customWidth="1" style="10" min="8" max="8"/>
    <col width="12" customWidth="1" style="10" min="9" max="10"/>
    <col width="62" customWidth="1" style="10" min="11" max="11"/>
    <col width="23" customWidth="1" style="10" min="12" max="12"/>
    <col width="18" customWidth="1" style="10" min="13" max="13"/>
    <col width="22" customWidth="1" style="10" min="14" max="15"/>
    <col width="30" customWidth="1" style="10" min="16" max="16"/>
    <col width="26" customWidth="1" style="10" min="17" max="17"/>
    <col width="34" customWidth="1" style="10" min="18" max="18"/>
    <col width="18" customWidth="1" style="10" min="19" max="19"/>
    <col width="44" customWidth="1" style="10" min="20" max="20"/>
  </cols>
  <sheetData>
    <row r="1" ht="27.75" customHeight="1" s="11">
      <c r="A1" s="12" t="inlineStr">
        <is>
          <t>VitaSync – ausführbare Arbeitspakete</t>
        </is>
      </c>
    </row>
    <row r="2" ht="30" customHeight="1" s="11">
      <c r="A2" s="13" t="inlineStr">
        <is>
          <t>Nach Reihenfolge beginnen; Abhängigkeiten und Entscheidungen prüfen. Alle Tasks starten offen. Vollständige Arbeitsaufträge stehen unter Briefings.</t>
        </is>
      </c>
    </row>
    <row r="3" ht="43.5" customHeight="1" s="11">
      <c r="A3" s="14" t="inlineStr">
        <is>
          <t>Task-ID</t>
        </is>
      </c>
      <c r="B3" s="14" t="inlineStr">
        <is>
          <t>Story-ID</t>
        </is>
      </c>
      <c r="C3" s="14" t="inlineStr">
        <is>
          <t>Meilenstein</t>
        </is>
      </c>
      <c r="D3" s="14" t="inlineStr">
        <is>
          <t>Reihenfolge</t>
        </is>
      </c>
      <c r="E3" s="14" t="inlineStr">
        <is>
          <t>Task</t>
        </is>
      </c>
      <c r="F3" s="14" t="inlineStr">
        <is>
          <t>Art</t>
        </is>
      </c>
      <c r="G3" s="14" t="inlineStr">
        <is>
          <t>Programmierung</t>
        </is>
      </c>
      <c r="H3" s="14" t="inlineStr">
        <is>
          <t>Recherche</t>
        </is>
      </c>
      <c r="I3" s="14" t="inlineStr">
        <is>
          <t>Gesamt</t>
        </is>
      </c>
      <c r="J3" s="14" t="inlineStr">
        <is>
          <t>Task Points</t>
        </is>
      </c>
      <c r="K3" s="14" t="inlineStr">
        <is>
          <t>Voraussetzungen</t>
        </is>
      </c>
      <c r="L3" s="14" t="inlineStr">
        <is>
          <t>Entscheidungen</t>
        </is>
      </c>
      <c r="M3" s="14" t="inlineStr">
        <is>
          <t>Status</t>
        </is>
      </c>
      <c r="N3" s="14" t="inlineStr">
        <is>
          <t>Verantwortlich</t>
        </is>
      </c>
      <c r="O3" s="14" t="inlineStr">
        <is>
          <t>Bearbeiter</t>
        </is>
      </c>
      <c r="P3" s="14" t="inlineStr">
        <is>
          <t>KI-Einsatz</t>
        </is>
      </c>
      <c r="Q3" s="14" t="inlineStr">
        <is>
          <t>Einplanung</t>
        </is>
      </c>
      <c r="R3" s="14" t="inlineStr">
        <is>
          <t>Modul (Vorschlag)</t>
        </is>
      </c>
      <c r="S3" s="14" t="inlineStr">
        <is>
          <t>Zweckprüfung (D08)</t>
        </is>
      </c>
      <c r="T3" s="14" t="inlineStr">
        <is>
          <t>Änderung</t>
        </is>
      </c>
    </row>
    <row r="4" ht="67.5" customHeight="1" s="11">
      <c r="A4" s="15" t="inlineStr">
        <is>
          <t>F001</t>
        </is>
      </c>
      <c r="B4" s="15" t="inlineStr">
        <is>
          <t>BASIS</t>
        </is>
      </c>
      <c r="C4" s="15" t="inlineStr">
        <is>
          <t>M1</t>
        </is>
      </c>
      <c r="D4" s="15" t="n">
        <v>1</v>
      </c>
      <c r="E4" s="15" t="inlineStr">
        <is>
          <t>Entscheidungen und Schnittstellen abstimmen</t>
        </is>
      </c>
      <c r="F4" s="15" t="inlineStr">
        <is>
          <t>Research</t>
        </is>
      </c>
      <c r="G4" s="19" t="n">
        <v>1</v>
      </c>
      <c r="H4" s="19" t="n">
        <v>3</v>
      </c>
      <c r="I4" s="18">
        <f>(G4+H4)/2</f>
        <v/>
      </c>
      <c r="J4" s="19" t="n">
        <v>2</v>
      </c>
      <c r="K4" s="15" t="n"/>
      <c r="L4" s="15" t="inlineStr">
        <is>
          <t>D01, D03</t>
        </is>
      </c>
      <c r="M4" s="19" t="inlineStr">
        <is>
          <t>Erledigt</t>
        </is>
      </c>
      <c r="N4" s="19" t="inlineStr">
        <is>
          <t>Atakan</t>
        </is>
      </c>
      <c r="O4" s="19" t="inlineStr">
        <is>
          <t>Mensch</t>
        </is>
      </c>
      <c r="P4" s="15" t="inlineStr">
        <is>
          <t>Unterstützend</t>
        </is>
      </c>
      <c r="Q4" s="15" t="inlineStr">
        <is>
          <t>Kern</t>
        </is>
      </c>
      <c r="R4" s="15" t="inlineStr">
        <is>
          <t>docs/decisions</t>
        </is>
      </c>
      <c r="S4" s="15" t="inlineStr">
        <is>
          <t>Erlaubt</t>
        </is>
      </c>
      <c r="T4" s="15" t="n"/>
    </row>
    <row r="5" ht="67.5" customHeight="1" s="11">
      <c r="A5" s="16" t="inlineStr">
        <is>
          <t>F002</t>
        </is>
      </c>
      <c r="B5" s="16" t="inlineStr">
        <is>
          <t>BASIS</t>
        </is>
      </c>
      <c r="C5" s="16" t="inlineStr">
        <is>
          <t>M1</t>
        </is>
      </c>
      <c r="D5" s="16" t="n">
        <v>2</v>
      </c>
      <c r="E5" s="16" t="inlineStr">
        <is>
          <t>Projektstart reproduzierbar machen</t>
        </is>
      </c>
      <c r="F5" s="16" t="inlineStr">
        <is>
          <t>Code</t>
        </is>
      </c>
      <c r="G5" s="19" t="n">
        <v>2</v>
      </c>
      <c r="H5" s="19" t="n">
        <v>1</v>
      </c>
      <c r="I5" s="18">
        <f>(G5+H5)/2</f>
        <v/>
      </c>
      <c r="J5" s="19" t="n">
        <v>3</v>
      </c>
      <c r="K5" s="16" t="inlineStr">
        <is>
          <t>F001</t>
        </is>
      </c>
      <c r="L5" s="16" t="n"/>
      <c r="M5" s="19" t="inlineStr">
        <is>
          <t>Erledigt</t>
        </is>
      </c>
      <c r="N5" s="19" t="inlineStr">
        <is>
          <t>Atakan</t>
        </is>
      </c>
      <c r="O5" s="19" t="inlineStr">
        <is>
          <t>Claude</t>
        </is>
      </c>
      <c r="P5" s="16" t="inlineStr">
        <is>
          <t>Nach menschlicher Freigabe</t>
        </is>
      </c>
      <c r="Q5" s="16" t="inlineStr">
        <is>
          <t>Kern</t>
        </is>
      </c>
      <c r="R5" s="16" t="inlineStr">
        <is>
          <t>infra, apps</t>
        </is>
      </c>
      <c r="S5" s="16" t="inlineStr">
        <is>
          <t>Erlaubt</t>
        </is>
      </c>
      <c r="T5" s="16" t="inlineStr">
        <is>
          <t>PR #1 gemergt 14.10.2026</t>
        </is>
      </c>
    </row>
    <row r="6" ht="67.5" customHeight="1" s="11">
      <c r="A6" s="15" t="inlineStr">
        <is>
          <t>F003</t>
        </is>
      </c>
      <c r="B6" s="15" t="inlineStr">
        <is>
          <t>BASIS</t>
        </is>
      </c>
      <c r="C6" s="15" t="inlineStr">
        <is>
          <t>M1</t>
        </is>
      </c>
      <c r="D6" s="15" t="n">
        <v>3</v>
      </c>
      <c r="E6" s="15" t="inlineStr">
        <is>
          <t>Chat-API-Vertrag festlegen</t>
        </is>
      </c>
      <c r="F6" s="15" t="inlineStr">
        <is>
          <t>Research</t>
        </is>
      </c>
      <c r="G6" s="19" t="n">
        <v>1</v>
      </c>
      <c r="H6" s="19" t="n">
        <v>3</v>
      </c>
      <c r="I6" s="18">
        <f>(G6+H6)/2</f>
        <v/>
      </c>
      <c r="J6" s="19" t="n">
        <v>2</v>
      </c>
      <c r="K6" s="15" t="inlineStr">
        <is>
          <t>F001</t>
        </is>
      </c>
      <c r="L6" s="15" t="n"/>
      <c r="M6" s="19" t="inlineStr">
        <is>
          <t>Erledigt</t>
        </is>
      </c>
      <c r="N6" s="19" t="inlineStr">
        <is>
          <t>Atakan</t>
        </is>
      </c>
      <c r="O6" s="19" t="inlineStr">
        <is>
          <t>Claude</t>
        </is>
      </c>
      <c r="P6" s="15" t="inlineStr">
        <is>
          <t>Unterstützend</t>
        </is>
      </c>
      <c r="Q6" s="15" t="inlineStr">
        <is>
          <t>Kern</t>
        </is>
      </c>
      <c r="R6" s="15" t="inlineStr">
        <is>
          <t>contracts/api</t>
        </is>
      </c>
      <c r="S6" s="15" t="inlineStr">
        <is>
          <t>Erlaubt</t>
        </is>
      </c>
      <c r="T6" s="15" t="inlineStr">
        <is>
          <t>PR #2 gemergt 14.10.2026</t>
        </is>
      </c>
    </row>
    <row r="7" ht="67.5" customHeight="1" s="11">
      <c r="A7" s="16" t="inlineStr">
        <is>
          <t>F004</t>
        </is>
      </c>
      <c r="B7" s="16" t="inlineStr">
        <is>
          <t>BASIS</t>
        </is>
      </c>
      <c r="C7" s="16" t="inlineStr">
        <is>
          <t>M1</t>
        </is>
      </c>
      <c r="D7" s="16" t="n">
        <v>4</v>
      </c>
      <c r="E7" s="16" t="inlineStr">
        <is>
          <t>Testautomatisierung einrichten</t>
        </is>
      </c>
      <c r="F7" s="16" t="inlineStr">
        <is>
          <t>Code</t>
        </is>
      </c>
      <c r="G7" s="19" t="n">
        <v>2</v>
      </c>
      <c r="H7" s="19" t="n">
        <v>1</v>
      </c>
      <c r="I7" s="18">
        <f>(G7+H7)/2</f>
        <v/>
      </c>
      <c r="J7" s="19" t="n">
        <v>3</v>
      </c>
      <c r="K7" s="16" t="inlineStr">
        <is>
          <t>F002</t>
        </is>
      </c>
      <c r="L7" s="16" t="n"/>
      <c r="M7" s="19" t="inlineStr">
        <is>
          <t>Offen</t>
        </is>
      </c>
      <c r="N7" s="19" t="n"/>
      <c r="O7" s="19" t="n"/>
      <c r="P7" s="16" t="inlineStr">
        <is>
          <t>Nach menschlicher Freigabe</t>
        </is>
      </c>
      <c r="Q7" s="16" t="inlineStr">
        <is>
          <t>Kern</t>
        </is>
      </c>
      <c r="R7" s="16" t="inlineStr">
        <is>
          <t>.github, apps/*/tests</t>
        </is>
      </c>
      <c r="S7" s="16" t="inlineStr">
        <is>
          <t>Erlaubt</t>
        </is>
      </c>
      <c r="T7" s="16" t="n"/>
    </row>
    <row r="8" ht="67.5" customHeight="1" s="11">
      <c r="A8" s="15" t="inlineStr">
        <is>
          <t>F005</t>
        </is>
      </c>
      <c r="B8" s="15" t="inlineStr">
        <is>
          <t>BASIS</t>
        </is>
      </c>
      <c r="C8" s="15" t="inlineStr">
        <is>
          <t>M1</t>
        </is>
      </c>
      <c r="D8" s="15" t="n">
        <v>5</v>
      </c>
      <c r="E8" s="15" t="inlineStr">
        <is>
          <t>Chat-UX für Kernzustände skizzieren</t>
        </is>
      </c>
      <c r="F8" s="15" t="inlineStr">
        <is>
          <t>UX</t>
        </is>
      </c>
      <c r="G8" s="19" t="n">
        <v>1</v>
      </c>
      <c r="H8" s="19" t="n">
        <v>1</v>
      </c>
      <c r="I8" s="18">
        <f>(G8+H8)/2</f>
        <v/>
      </c>
      <c r="J8" s="19" t="n">
        <v>3</v>
      </c>
      <c r="K8" s="15" t="inlineStr">
        <is>
          <t>F003</t>
        </is>
      </c>
      <c r="L8" s="15" t="n"/>
      <c r="M8" s="19" t="inlineStr">
        <is>
          <t>Offen</t>
        </is>
      </c>
      <c r="N8" s="19" t="n"/>
      <c r="O8" s="19" t="n"/>
      <c r="P8" s="15" t="inlineStr">
        <is>
          <t>Unterstützend</t>
        </is>
      </c>
      <c r="Q8" s="15" t="inlineStr">
        <is>
          <t>Kern</t>
        </is>
      </c>
      <c r="R8" s="15" t="inlineStr">
        <is>
          <t>apps/web</t>
        </is>
      </c>
      <c r="S8" s="15" t="inlineStr">
        <is>
          <t>Erlaubt</t>
        </is>
      </c>
      <c r="T8" s="15" t="n"/>
    </row>
    <row r="9" ht="67.5" customHeight="1" s="11">
      <c r="A9" s="16" t="inlineStr">
        <is>
          <t>F006</t>
        </is>
      </c>
      <c r="B9" s="16" t="inlineStr">
        <is>
          <t>BASIS</t>
        </is>
      </c>
      <c r="C9" s="16" t="inlineStr">
        <is>
          <t>M1</t>
        </is>
      </c>
      <c r="D9" s="16" t="n">
        <v>6</v>
      </c>
      <c r="E9" s="16" t="inlineStr">
        <is>
          <t>Chatoberfläche mit Testantwort bauen</t>
        </is>
      </c>
      <c r="F9" s="16" t="inlineStr">
        <is>
          <t>Code</t>
        </is>
      </c>
      <c r="G9" s="19" t="n">
        <v>2</v>
      </c>
      <c r="H9" s="19" t="n">
        <v>1</v>
      </c>
      <c r="I9" s="18">
        <f>(G9+H9)/2</f>
        <v/>
      </c>
      <c r="J9" s="19" t="n">
        <v>3</v>
      </c>
      <c r="K9" s="16" t="inlineStr">
        <is>
          <t>F005, F002</t>
        </is>
      </c>
      <c r="L9" s="16" t="n"/>
      <c r="M9" s="19" t="inlineStr">
        <is>
          <t>Offen</t>
        </is>
      </c>
      <c r="N9" s="19" t="n"/>
      <c r="O9" s="19" t="n"/>
      <c r="P9" s="16" t="inlineStr">
        <is>
          <t>Nach menschlicher Freigabe</t>
        </is>
      </c>
      <c r="Q9" s="16" t="inlineStr">
        <is>
          <t>Kern</t>
        </is>
      </c>
      <c r="R9" s="16" t="inlineStr">
        <is>
          <t>apps/web</t>
        </is>
      </c>
      <c r="S9" s="16" t="inlineStr">
        <is>
          <t>Erlaubt</t>
        </is>
      </c>
      <c r="T9" s="16" t="inlineStr">
        <is>
          <t>F002 liefert nur apps/api und infra. Web-Grundgeruest (package.json, Vite, TypeScript) gehoert zu diesem Task.</t>
        </is>
      </c>
    </row>
    <row r="10" ht="67.5" customHeight="1" s="11">
      <c r="A10" s="15" t="inlineStr">
        <is>
          <t>F007</t>
        </is>
      </c>
      <c r="B10" s="15" t="inlineStr">
        <is>
          <t>BASIS</t>
        </is>
      </c>
      <c r="C10" s="15" t="inlineStr">
        <is>
          <t>M1</t>
        </is>
      </c>
      <c r="D10" s="15" t="n">
        <v>7</v>
      </c>
      <c r="E10" s="15" t="inlineStr">
        <is>
          <t>Backend mit fester Antwort anbinden</t>
        </is>
      </c>
      <c r="F10" s="15" t="inlineStr">
        <is>
          <t>Code</t>
        </is>
      </c>
      <c r="G10" s="19" t="n">
        <v>2</v>
      </c>
      <c r="H10" s="19" t="n">
        <v>1</v>
      </c>
      <c r="I10" s="18">
        <f>(G10+H10)/2</f>
        <v/>
      </c>
      <c r="J10" s="19" t="n">
        <v>3</v>
      </c>
      <c r="K10" s="15" t="inlineStr">
        <is>
          <t>F003, F006</t>
        </is>
      </c>
      <c r="L10" s="15" t="n"/>
      <c r="M10" s="19" t="inlineStr">
        <is>
          <t>Offen</t>
        </is>
      </c>
      <c r="N10" s="19" t="n"/>
      <c r="O10" s="19" t="n"/>
      <c r="P10" s="15" t="inlineStr">
        <is>
          <t>Nach menschlicher Freigabe</t>
        </is>
      </c>
      <c r="Q10" s="15" t="inlineStr">
        <is>
          <t>Kern</t>
        </is>
      </c>
      <c r="R10" s="15" t="inlineStr">
        <is>
          <t>api, features/chat</t>
        </is>
      </c>
      <c r="S10" s="15" t="inlineStr">
        <is>
          <t>Erlaubt</t>
        </is>
      </c>
      <c r="T10" s="15" t="n"/>
    </row>
    <row r="11" ht="67.5" customHeight="1" s="11">
      <c r="A11" s="16" t="inlineStr">
        <is>
          <t>F008</t>
        </is>
      </c>
      <c r="B11" s="16" t="inlineStr">
        <is>
          <t>BASIS</t>
        </is>
      </c>
      <c r="C11" s="16" t="inlineStr">
        <is>
          <t>M1</t>
        </is>
      </c>
      <c r="D11" s="16" t="n">
        <v>8</v>
      </c>
      <c r="E11" s="16" t="inlineStr">
        <is>
          <t>Lokalen Modelladapter isolieren</t>
        </is>
      </c>
      <c r="F11" s="16" t="inlineStr">
        <is>
          <t>Code</t>
        </is>
      </c>
      <c r="G11" s="19" t="n">
        <v>2</v>
      </c>
      <c r="H11" s="19" t="n">
        <v>1</v>
      </c>
      <c r="I11" s="18">
        <f>(G11+H11)/2</f>
        <v/>
      </c>
      <c r="J11" s="19" t="n">
        <v>3</v>
      </c>
      <c r="K11" s="16" t="inlineStr">
        <is>
          <t>F007</t>
        </is>
      </c>
      <c r="L11" s="16" t="inlineStr">
        <is>
          <t>D03</t>
        </is>
      </c>
      <c r="M11" s="19" t="inlineStr">
        <is>
          <t>Offen</t>
        </is>
      </c>
      <c r="N11" s="19" t="n"/>
      <c r="O11" s="19" t="n"/>
      <c r="P11" s="16" t="inlineStr">
        <is>
          <t>Nach menschlicher Freigabe</t>
        </is>
      </c>
      <c r="Q11" s="16" t="inlineStr">
        <is>
          <t>Kern</t>
        </is>
      </c>
      <c r="R11" s="16" t="inlineStr">
        <is>
          <t>adapters/llm</t>
        </is>
      </c>
      <c r="S11" s="16" t="inlineStr">
        <is>
          <t>Erlaubt</t>
        </is>
      </c>
      <c r="T11" s="16" t="n"/>
    </row>
    <row r="12" ht="67.5" customHeight="1" s="11">
      <c r="A12" s="15" t="inlineStr">
        <is>
          <t>F009</t>
        </is>
      </c>
      <c r="B12" s="15" t="inlineStr">
        <is>
          <t>BASIS</t>
        </is>
      </c>
      <c r="C12" s="15" t="inlineStr">
        <is>
          <t>M1</t>
        </is>
      </c>
      <c r="D12" s="15" t="n">
        <v>9</v>
      </c>
      <c r="E12" s="15" t="inlineStr">
        <is>
          <t>Synthetische Testdaten und Loggrenzen festlegen</t>
        </is>
      </c>
      <c r="F12" s="15" t="inlineStr">
        <is>
          <t>Research</t>
        </is>
      </c>
      <c r="G12" s="19" t="n">
        <v>1</v>
      </c>
      <c r="H12" s="19" t="n">
        <v>3</v>
      </c>
      <c r="I12" s="18">
        <f>(G12+H12)/2</f>
        <v/>
      </c>
      <c r="J12" s="19" t="n">
        <v>2</v>
      </c>
      <c r="K12" s="15" t="inlineStr">
        <is>
          <t>F003</t>
        </is>
      </c>
      <c r="L12" s="15" t="inlineStr">
        <is>
          <t>D05</t>
        </is>
      </c>
      <c r="M12" s="19" t="inlineStr">
        <is>
          <t>Offen</t>
        </is>
      </c>
      <c r="N12" s="19" t="n"/>
      <c r="O12" s="19" t="n"/>
      <c r="P12" s="15" t="inlineStr">
        <is>
          <t>Unterstützend</t>
        </is>
      </c>
      <c r="Q12" s="15" t="inlineStr">
        <is>
          <t>Kern</t>
        </is>
      </c>
      <c r="R12" s="15" t="inlineStr">
        <is>
          <t>data/synthetic</t>
        </is>
      </c>
      <c r="S12" s="15" t="inlineStr">
        <is>
          <t>Erlaubt</t>
        </is>
      </c>
      <c r="T12" s="15" t="n"/>
    </row>
    <row r="13" ht="67.5" customHeight="1" s="11">
      <c r="A13" s="16" t="inlineStr">
        <is>
          <t>T-U004-01</t>
        </is>
      </c>
      <c r="B13" s="16" t="inlineStr">
        <is>
          <t>U004</t>
        </is>
      </c>
      <c r="C13" s="16" t="inlineStr">
        <is>
          <t>M1</t>
        </is>
      </c>
      <c r="D13" s="16" t="n">
        <v>10</v>
      </c>
      <c r="E13" s="16" t="inlineStr">
        <is>
          <t>Routing-Beispiele festlegen</t>
        </is>
      </c>
      <c r="F13" s="16" t="inlineStr">
        <is>
          <t>Research</t>
        </is>
      </c>
      <c r="G13" s="19" t="n">
        <v>1</v>
      </c>
      <c r="H13" s="19" t="n">
        <v>3</v>
      </c>
      <c r="I13" s="18">
        <f>(G13+H13)/2</f>
        <v/>
      </c>
      <c r="J13" s="19" t="n">
        <v>2</v>
      </c>
      <c r="K13" s="16" t="inlineStr">
        <is>
          <t>F007, F008</t>
        </is>
      </c>
      <c r="L13" s="16" t="n"/>
      <c r="M13" s="19" t="inlineStr">
        <is>
          <t>Offen</t>
        </is>
      </c>
      <c r="N13" s="19" t="n"/>
      <c r="O13" s="19" t="n"/>
      <c r="P13" s="16" t="inlineStr">
        <is>
          <t>Unterstützend</t>
        </is>
      </c>
      <c r="Q13" s="16" t="inlineStr">
        <is>
          <t>Kern</t>
        </is>
      </c>
      <c r="R13" s="16" t="inlineStr">
        <is>
          <t>knowledge, evals</t>
        </is>
      </c>
      <c r="S13" s="16" t="inlineStr">
        <is>
          <t>Erlaubt</t>
        </is>
      </c>
      <c r="T13" s="16" t="n"/>
    </row>
    <row r="14" ht="67.5" customHeight="1" s="11">
      <c r="A14" s="15" t="inlineStr">
        <is>
          <t>T-U004-02</t>
        </is>
      </c>
      <c r="B14" s="15" t="inlineStr">
        <is>
          <t>U004</t>
        </is>
      </c>
      <c r="C14" s="15" t="inlineStr">
        <is>
          <t>M1</t>
        </is>
      </c>
      <c r="D14" s="15" t="n">
        <v>11</v>
      </c>
      <c r="E14" s="15" t="inlineStr">
        <is>
          <t>Intent-Validator implementieren</t>
        </is>
      </c>
      <c r="F14" s="15" t="inlineStr">
        <is>
          <t>Code</t>
        </is>
      </c>
      <c r="G14" s="19" t="n">
        <v>2</v>
      </c>
      <c r="H14" s="19" t="n">
        <v>1</v>
      </c>
      <c r="I14" s="18">
        <f>(G14+H14)/2</f>
        <v/>
      </c>
      <c r="J14" s="19" t="n">
        <v>3</v>
      </c>
      <c r="K14" s="15" t="inlineStr">
        <is>
          <t>T-U004-01</t>
        </is>
      </c>
      <c r="L14" s="15" t="n"/>
      <c r="M14" s="19" t="inlineStr">
        <is>
          <t>Offen</t>
        </is>
      </c>
      <c r="N14" s="19" t="n"/>
      <c r="O14" s="19" t="n"/>
      <c r="P14" s="15" t="inlineStr">
        <is>
          <t>Nach menschlicher Freigabe</t>
        </is>
      </c>
      <c r="Q14" s="15" t="inlineStr">
        <is>
          <t>Kern</t>
        </is>
      </c>
      <c r="R14" s="15" t="inlineStr">
        <is>
          <t>features/recognition</t>
        </is>
      </c>
      <c r="S14" s="15" t="inlineStr">
        <is>
          <t>Erlaubt</t>
        </is>
      </c>
      <c r="T14" s="15" t="n"/>
    </row>
    <row r="15" ht="67.5" customHeight="1" s="11">
      <c r="A15" s="16" t="inlineStr">
        <is>
          <t>T-U004-03</t>
        </is>
      </c>
      <c r="B15" s="16" t="inlineStr">
        <is>
          <t>U004</t>
        </is>
      </c>
      <c r="C15" s="16" t="inlineStr">
        <is>
          <t>M1</t>
        </is>
      </c>
      <c r="D15" s="16" t="n">
        <v>12</v>
      </c>
      <c r="E15" s="16" t="inlineStr">
        <is>
          <t>Fachfremde Anfrage beantworten</t>
        </is>
      </c>
      <c r="F15" s="16" t="inlineStr">
        <is>
          <t>Code</t>
        </is>
      </c>
      <c r="G15" s="19" t="n">
        <v>2</v>
      </c>
      <c r="H15" s="19" t="n">
        <v>1</v>
      </c>
      <c r="I15" s="18">
        <f>(G15+H15)/2</f>
        <v/>
      </c>
      <c r="J15" s="19" t="n">
        <v>3</v>
      </c>
      <c r="K15" s="16" t="inlineStr">
        <is>
          <t>T-U004-02</t>
        </is>
      </c>
      <c r="L15" s="16" t="n"/>
      <c r="M15" s="19" t="inlineStr">
        <is>
          <t>Offen</t>
        </is>
      </c>
      <c r="N15" s="19" t="n"/>
      <c r="O15" s="19" t="n"/>
      <c r="P15" s="16" t="inlineStr">
        <is>
          <t>Nach menschlicher Freigabe</t>
        </is>
      </c>
      <c r="Q15" s="16" t="inlineStr">
        <is>
          <t>Kern</t>
        </is>
      </c>
      <c r="R15" s="16" t="inlineStr">
        <is>
          <t>features/recognition</t>
        </is>
      </c>
      <c r="S15" s="16" t="inlineStr">
        <is>
          <t>Erlaubt</t>
        </is>
      </c>
      <c r="T15" s="16" t="n"/>
    </row>
    <row r="16" ht="67.5" customHeight="1" s="11">
      <c r="A16" s="15" t="inlineStr">
        <is>
          <t>T-U009-01</t>
        </is>
      </c>
      <c r="B16" s="15" t="inlineStr">
        <is>
          <t>U009</t>
        </is>
      </c>
      <c r="C16" s="15" t="inlineStr">
        <is>
          <t>M1</t>
        </is>
      </c>
      <c r="D16" s="15" t="n">
        <v>13</v>
      </c>
      <c r="E16" s="15" t="inlineStr">
        <is>
          <t>Kleines Wissenspaket kuratieren</t>
        </is>
      </c>
      <c r="F16" s="15" t="inlineStr">
        <is>
          <t>Research</t>
        </is>
      </c>
      <c r="G16" s="19" t="n">
        <v>1</v>
      </c>
      <c r="H16" s="19" t="n">
        <v>3</v>
      </c>
      <c r="I16" s="18">
        <f>(G16+H16)/2</f>
        <v/>
      </c>
      <c r="J16" s="19" t="n">
        <v>2</v>
      </c>
      <c r="K16" s="15" t="inlineStr">
        <is>
          <t>F007, T-U004-03, F008</t>
        </is>
      </c>
      <c r="L16" s="15" t="inlineStr">
        <is>
          <t>D04</t>
        </is>
      </c>
      <c r="M16" s="19" t="inlineStr">
        <is>
          <t>Offen</t>
        </is>
      </c>
      <c r="N16" s="19" t="n"/>
      <c r="O16" s="19" t="n"/>
      <c r="P16" s="15" t="inlineStr">
        <is>
          <t>Unterstützend</t>
        </is>
      </c>
      <c r="Q16" s="15" t="inlineStr">
        <is>
          <t>Kern</t>
        </is>
      </c>
      <c r="R16" s="15" t="inlineStr">
        <is>
          <t>knowledge</t>
        </is>
      </c>
      <c r="S16" s="15" t="inlineStr">
        <is>
          <t>Erlaubt</t>
        </is>
      </c>
      <c r="T16" s="15" t="n"/>
    </row>
    <row r="17" ht="67.5" customHeight="1" s="11">
      <c r="A17" s="16" t="inlineStr">
        <is>
          <t>T-U009-02</t>
        </is>
      </c>
      <c r="B17" s="16" t="inlineStr">
        <is>
          <t>U009</t>
        </is>
      </c>
      <c r="C17" s="16" t="inlineStr">
        <is>
          <t>M1</t>
        </is>
      </c>
      <c r="D17" s="16" t="n">
        <v>14</v>
      </c>
      <c r="E17" s="16" t="inlineStr">
        <is>
          <t>Wissenseintrag auswählen</t>
        </is>
      </c>
      <c r="F17" s="16" t="inlineStr">
        <is>
          <t>Code</t>
        </is>
      </c>
      <c r="G17" s="19" t="n">
        <v>2</v>
      </c>
      <c r="H17" s="19" t="n">
        <v>1</v>
      </c>
      <c r="I17" s="18">
        <f>(G17+H17)/2</f>
        <v/>
      </c>
      <c r="J17" s="19" t="n">
        <v>3</v>
      </c>
      <c r="K17" s="16" t="inlineStr">
        <is>
          <t>T-U009-01</t>
        </is>
      </c>
      <c r="L17" s="16" t="n"/>
      <c r="M17" s="19" t="inlineStr">
        <is>
          <t>Offen</t>
        </is>
      </c>
      <c r="N17" s="19" t="n"/>
      <c r="O17" s="19" t="n"/>
      <c r="P17" s="16" t="inlineStr">
        <is>
          <t>Nach menschlicher Freigabe</t>
        </is>
      </c>
      <c r="Q17" s="16" t="inlineStr">
        <is>
          <t>Kern</t>
        </is>
      </c>
      <c r="R17" s="16" t="inlineStr">
        <is>
          <t>features/guidance</t>
        </is>
      </c>
      <c r="S17" s="16" t="inlineStr">
        <is>
          <t>Erlaubt</t>
        </is>
      </c>
      <c r="T17" s="16" t="n"/>
    </row>
    <row r="18" ht="67.5" customHeight="1" s="11">
      <c r="A18" s="15" t="inlineStr">
        <is>
          <t>T-U009-03</t>
        </is>
      </c>
      <c r="B18" s="15" t="inlineStr">
        <is>
          <t>U009</t>
        </is>
      </c>
      <c r="C18" s="15" t="inlineStr">
        <is>
          <t>M1</t>
        </is>
      </c>
      <c r="D18" s="15" t="n">
        <v>15</v>
      </c>
      <c r="E18" s="15" t="inlineStr">
        <is>
          <t>Verständliche Antwort formatieren</t>
        </is>
      </c>
      <c r="F18" s="15" t="inlineStr">
        <is>
          <t>Code</t>
        </is>
      </c>
      <c r="G18" s="19" t="n">
        <v>2</v>
      </c>
      <c r="H18" s="19" t="n">
        <v>1</v>
      </c>
      <c r="I18" s="18">
        <f>(G18+H18)/2</f>
        <v/>
      </c>
      <c r="J18" s="19" t="n">
        <v>3</v>
      </c>
      <c r="K18" s="15" t="inlineStr">
        <is>
          <t>T-U009-02</t>
        </is>
      </c>
      <c r="L18" s="15" t="n"/>
      <c r="M18" s="19" t="inlineStr">
        <is>
          <t>Offen</t>
        </is>
      </c>
      <c r="N18" s="19" t="n"/>
      <c r="O18" s="19" t="n"/>
      <c r="P18" s="15" t="inlineStr">
        <is>
          <t>Nach menschlicher Freigabe</t>
        </is>
      </c>
      <c r="Q18" s="15" t="inlineStr">
        <is>
          <t>Kern</t>
        </is>
      </c>
      <c r="R18" s="15" t="inlineStr">
        <is>
          <t>features/guidance</t>
        </is>
      </c>
      <c r="S18" s="15" t="inlineStr">
        <is>
          <t>Erlaubt</t>
        </is>
      </c>
      <c r="T18" s="15" t="n"/>
    </row>
    <row r="19" ht="67.5" customHeight="1" s="11">
      <c r="A19" s="16" t="inlineStr">
        <is>
          <t>T-U009-04</t>
        </is>
      </c>
      <c r="B19" s="16" t="inlineStr">
        <is>
          <t>U009</t>
        </is>
      </c>
      <c r="C19" s="16" t="inlineStr">
        <is>
          <t>M1</t>
        </is>
      </c>
      <c r="D19" s="16" t="n">
        <v>16</v>
      </c>
      <c r="E19" s="16" t="inlineStr">
        <is>
          <t>Antwortdarstellung integrieren</t>
        </is>
      </c>
      <c r="F19" s="16" t="inlineStr">
        <is>
          <t>Code</t>
        </is>
      </c>
      <c r="G19" s="19" t="n">
        <v>2</v>
      </c>
      <c r="H19" s="19" t="n">
        <v>1</v>
      </c>
      <c r="I19" s="18">
        <f>(G19+H19)/2</f>
        <v/>
      </c>
      <c r="J19" s="19" t="n">
        <v>3</v>
      </c>
      <c r="K19" s="16" t="inlineStr">
        <is>
          <t>T-U009-03</t>
        </is>
      </c>
      <c r="L19" s="16" t="n"/>
      <c r="M19" s="19" t="inlineStr">
        <is>
          <t>Offen</t>
        </is>
      </c>
      <c r="N19" s="19" t="n"/>
      <c r="O19" s="19" t="n"/>
      <c r="P19" s="16" t="inlineStr">
        <is>
          <t>Nach menschlicher Freigabe</t>
        </is>
      </c>
      <c r="Q19" s="16" t="inlineStr">
        <is>
          <t>Kern</t>
        </is>
      </c>
      <c r="R19" s="16" t="inlineStr">
        <is>
          <t>apps/web</t>
        </is>
      </c>
      <c r="S19" s="16" t="inlineStr">
        <is>
          <t>Erlaubt</t>
        </is>
      </c>
      <c r="T19" s="16" t="n"/>
    </row>
    <row r="20" ht="67.5" customHeight="1" s="11">
      <c r="A20" s="15" t="inlineStr">
        <is>
          <t>T-U010-01</t>
        </is>
      </c>
      <c r="B20" s="15" t="inlineStr">
        <is>
          <t>U010</t>
        </is>
      </c>
      <c r="C20" s="15" t="inlineStr">
        <is>
          <t>M1</t>
        </is>
      </c>
      <c r="D20" s="15" t="n">
        <v>17</v>
      </c>
      <c r="E20" s="15" t="inlineStr">
        <is>
          <t>Pflichtangaben für eine Rückfrage bestimmen</t>
        </is>
      </c>
      <c r="F20" s="15" t="inlineStr">
        <is>
          <t>Research</t>
        </is>
      </c>
      <c r="G20" s="19" t="n">
        <v>1</v>
      </c>
      <c r="H20" s="19" t="n">
        <v>3</v>
      </c>
      <c r="I20" s="18">
        <f>(G20+H20)/2</f>
        <v/>
      </c>
      <c r="J20" s="19" t="n">
        <v>2</v>
      </c>
      <c r="K20" s="15" t="inlineStr">
        <is>
          <t>F007, T-U004-03, F008</t>
        </is>
      </c>
      <c r="L20" s="15" t="n"/>
      <c r="M20" s="19" t="inlineStr">
        <is>
          <t>Offen</t>
        </is>
      </c>
      <c r="N20" s="19" t="n"/>
      <c r="O20" s="19" t="n"/>
      <c r="P20" s="15" t="inlineStr">
        <is>
          <t>Unterstützend</t>
        </is>
      </c>
      <c r="Q20" s="15" t="inlineStr">
        <is>
          <t>Kern</t>
        </is>
      </c>
      <c r="R20" s="15" t="inlineStr">
        <is>
          <t>features/chat</t>
        </is>
      </c>
      <c r="S20" s="15" t="inlineStr">
        <is>
          <t>Erlaubt</t>
        </is>
      </c>
      <c r="T20" s="15" t="n"/>
    </row>
    <row r="21" ht="67.5" customHeight="1" s="11">
      <c r="A21" s="16" t="inlineStr">
        <is>
          <t>T-U010-02</t>
        </is>
      </c>
      <c r="B21" s="16" t="inlineStr">
        <is>
          <t>U010</t>
        </is>
      </c>
      <c r="C21" s="16" t="inlineStr">
        <is>
          <t>M1</t>
        </is>
      </c>
      <c r="D21" s="16" t="n">
        <v>18</v>
      </c>
      <c r="E21" s="16" t="inlineStr">
        <is>
          <t>Offene Rückfrage verwalten</t>
        </is>
      </c>
      <c r="F21" s="16" t="inlineStr">
        <is>
          <t>Code</t>
        </is>
      </c>
      <c r="G21" s="19" t="n">
        <v>2</v>
      </c>
      <c r="H21" s="19" t="n">
        <v>1</v>
      </c>
      <c r="I21" s="18">
        <f>(G21+H21)/2</f>
        <v/>
      </c>
      <c r="J21" s="19" t="n">
        <v>3</v>
      </c>
      <c r="K21" s="16" t="inlineStr">
        <is>
          <t>T-U010-01</t>
        </is>
      </c>
      <c r="L21" s="16" t="n"/>
      <c r="M21" s="19" t="inlineStr">
        <is>
          <t>Offen</t>
        </is>
      </c>
      <c r="N21" s="19" t="n"/>
      <c r="O21" s="19" t="n"/>
      <c r="P21" s="16" t="inlineStr">
        <is>
          <t>Nach menschlicher Freigabe</t>
        </is>
      </c>
      <c r="Q21" s="16" t="inlineStr">
        <is>
          <t>Kern</t>
        </is>
      </c>
      <c r="R21" s="16" t="inlineStr">
        <is>
          <t>features/chat</t>
        </is>
      </c>
      <c r="S21" s="16" t="inlineStr">
        <is>
          <t>Erlaubt</t>
        </is>
      </c>
      <c r="T21" s="16" t="n"/>
    </row>
    <row r="22" ht="67.5" customHeight="1" s="11">
      <c r="A22" s="15" t="inlineStr">
        <is>
          <t>T-U010-03</t>
        </is>
      </c>
      <c r="B22" s="15" t="inlineStr">
        <is>
          <t>U010</t>
        </is>
      </c>
      <c r="C22" s="15" t="inlineStr">
        <is>
          <t>M1</t>
        </is>
      </c>
      <c r="D22" s="15" t="n">
        <v>19</v>
      </c>
      <c r="E22" s="15" t="inlineStr">
        <is>
          <t>Rückfrage im Chat verbinden</t>
        </is>
      </c>
      <c r="F22" s="15" t="inlineStr">
        <is>
          <t>Code</t>
        </is>
      </c>
      <c r="G22" s="19" t="n">
        <v>2</v>
      </c>
      <c r="H22" s="19" t="n">
        <v>1</v>
      </c>
      <c r="I22" s="18">
        <f>(G22+H22)/2</f>
        <v/>
      </c>
      <c r="J22" s="19" t="n">
        <v>3</v>
      </c>
      <c r="K22" s="15" t="inlineStr">
        <is>
          <t>T-U010-02</t>
        </is>
      </c>
      <c r="L22" s="15" t="n"/>
      <c r="M22" s="19" t="inlineStr">
        <is>
          <t>Offen</t>
        </is>
      </c>
      <c r="N22" s="19" t="n"/>
      <c r="O22" s="19" t="n"/>
      <c r="P22" s="15" t="inlineStr">
        <is>
          <t>Nach menschlicher Freigabe</t>
        </is>
      </c>
      <c r="Q22" s="15" t="inlineStr">
        <is>
          <t>Kern</t>
        </is>
      </c>
      <c r="R22" s="15" t="inlineStr">
        <is>
          <t>apps/web</t>
        </is>
      </c>
      <c r="S22" s="15" t="inlineStr">
        <is>
          <t>Erlaubt</t>
        </is>
      </c>
      <c r="T22" s="15" t="n"/>
    </row>
    <row r="23" ht="67.5" customHeight="1" s="11">
      <c r="A23" s="16" t="inlineStr">
        <is>
          <t>T-U026-01</t>
        </is>
      </c>
      <c r="B23" s="16" t="inlineStr">
        <is>
          <t>U026</t>
        </is>
      </c>
      <c r="C23" s="16" t="inlineStr">
        <is>
          <t>M1</t>
        </is>
      </c>
      <c r="D23" s="16" t="n">
        <v>20</v>
      </c>
      <c r="E23" s="16" t="inlineStr">
        <is>
          <t>Ladezustand anzeigen</t>
        </is>
      </c>
      <c r="F23" s="16" t="inlineStr">
        <is>
          <t>Code</t>
        </is>
      </c>
      <c r="G23" s="19" t="n">
        <v>2</v>
      </c>
      <c r="H23" s="19" t="n">
        <v>1</v>
      </c>
      <c r="I23" s="18">
        <f>(G23+H23)/2</f>
        <v/>
      </c>
      <c r="J23" s="19" t="n">
        <v>3</v>
      </c>
      <c r="K23" s="16" t="inlineStr">
        <is>
          <t>F007</t>
        </is>
      </c>
      <c r="L23" s="16" t="inlineStr">
        <is>
          <t>D03</t>
        </is>
      </c>
      <c r="M23" s="19" t="inlineStr">
        <is>
          <t>Offen</t>
        </is>
      </c>
      <c r="N23" s="19" t="n"/>
      <c r="O23" s="19" t="n"/>
      <c r="P23" s="16" t="inlineStr">
        <is>
          <t>Nach menschlicher Freigabe</t>
        </is>
      </c>
      <c r="Q23" s="16" t="inlineStr">
        <is>
          <t>Kern</t>
        </is>
      </c>
      <c r="R23" s="16" t="inlineStr">
        <is>
          <t>apps/web</t>
        </is>
      </c>
      <c r="S23" s="16" t="inlineStr">
        <is>
          <t>Erlaubt</t>
        </is>
      </c>
      <c r="T23" s="16" t="n"/>
    </row>
    <row r="24" ht="67.5" customHeight="1" s="11">
      <c r="A24" s="15" t="inlineStr">
        <is>
          <t>T-U026-02</t>
        </is>
      </c>
      <c r="B24" s="15" t="inlineStr">
        <is>
          <t>U026</t>
        </is>
      </c>
      <c r="C24" s="15" t="inlineStr">
        <is>
          <t>M1</t>
        </is>
      </c>
      <c r="D24" s="15" t="n">
        <v>21</v>
      </c>
      <c r="E24" s="15" t="inlineStr">
        <is>
          <t>Timeout und Abbruch umsetzen</t>
        </is>
      </c>
      <c r="F24" s="15" t="inlineStr">
        <is>
          <t>Code</t>
        </is>
      </c>
      <c r="G24" s="19" t="n">
        <v>2</v>
      </c>
      <c r="H24" s="19" t="n">
        <v>1</v>
      </c>
      <c r="I24" s="18">
        <f>(G24+H24)/2</f>
        <v/>
      </c>
      <c r="J24" s="19" t="n">
        <v>3</v>
      </c>
      <c r="K24" s="15" t="inlineStr">
        <is>
          <t>T-U026-01</t>
        </is>
      </c>
      <c r="L24" s="15" t="n"/>
      <c r="M24" s="19" t="inlineStr">
        <is>
          <t>Offen</t>
        </is>
      </c>
      <c r="N24" s="19" t="n"/>
      <c r="O24" s="19" t="n"/>
      <c r="P24" s="15" t="inlineStr">
        <is>
          <t>Nach menschlicher Freigabe</t>
        </is>
      </c>
      <c r="Q24" s="15" t="inlineStr">
        <is>
          <t>Kern</t>
        </is>
      </c>
      <c r="R24" s="15" t="inlineStr">
        <is>
          <t>apps/web</t>
        </is>
      </c>
      <c r="S24" s="15" t="inlineStr">
        <is>
          <t>Erlaubt</t>
        </is>
      </c>
      <c r="T24" s="15" t="n"/>
    </row>
    <row r="25" ht="67.5" customHeight="1" s="11">
      <c r="A25" s="16" t="inlineStr">
        <is>
          <t>T-U026-03</t>
        </is>
      </c>
      <c r="B25" s="16" t="inlineStr">
        <is>
          <t>U026</t>
        </is>
      </c>
      <c r="C25" s="16" t="inlineStr">
        <is>
          <t>M1</t>
        </is>
      </c>
      <c r="D25" s="16" t="n">
        <v>22</v>
      </c>
      <c r="E25" s="16" t="inlineStr">
        <is>
          <t>Wiederholen ohne Duplikat anbieten</t>
        </is>
      </c>
      <c r="F25" s="16" t="inlineStr">
        <is>
          <t>Code</t>
        </is>
      </c>
      <c r="G25" s="19" t="n">
        <v>2</v>
      </c>
      <c r="H25" s="19" t="n">
        <v>1</v>
      </c>
      <c r="I25" s="18">
        <f>(G25+H25)/2</f>
        <v/>
      </c>
      <c r="J25" s="19" t="n">
        <v>3</v>
      </c>
      <c r="K25" s="16" t="inlineStr">
        <is>
          <t>T-U026-02</t>
        </is>
      </c>
      <c r="L25" s="16" t="n"/>
      <c r="M25" s="19" t="inlineStr">
        <is>
          <t>Offen</t>
        </is>
      </c>
      <c r="N25" s="19" t="n"/>
      <c r="O25" s="19" t="n"/>
      <c r="P25" s="16" t="inlineStr">
        <is>
          <t>Nach menschlicher Freigabe</t>
        </is>
      </c>
      <c r="Q25" s="16" t="inlineStr">
        <is>
          <t>Kern</t>
        </is>
      </c>
      <c r="R25" s="16" t="inlineStr">
        <is>
          <t>apps/web</t>
        </is>
      </c>
      <c r="S25" s="16" t="inlineStr">
        <is>
          <t>Erlaubt</t>
        </is>
      </c>
      <c r="T25" s="16" t="n"/>
    </row>
    <row r="26" ht="67.5" customHeight="1" s="11">
      <c r="A26" s="15" t="inlineStr">
        <is>
          <t>T-U027-01</t>
        </is>
      </c>
      <c r="B26" s="15" t="inlineStr">
        <is>
          <t>U027</t>
        </is>
      </c>
      <c r="C26" s="15" t="inlineStr">
        <is>
          <t>M1</t>
        </is>
      </c>
      <c r="D26" s="15" t="n">
        <v>23</v>
      </c>
      <c r="E26" s="15" t="inlineStr">
        <is>
          <t>Einwilligungsablauf spezifizieren</t>
        </is>
      </c>
      <c r="F26" s="15" t="inlineStr">
        <is>
          <t>Research</t>
        </is>
      </c>
      <c r="G26" s="19" t="n">
        <v>1</v>
      </c>
      <c r="H26" s="19" t="n">
        <v>3</v>
      </c>
      <c r="I26" s="18">
        <f>(G26+H26)/2</f>
        <v/>
      </c>
      <c r="J26" s="19" t="n">
        <v>2</v>
      </c>
      <c r="K26" s="15" t="inlineStr">
        <is>
          <t>F003, F009</t>
        </is>
      </c>
      <c r="L26" s="15" t="inlineStr">
        <is>
          <t>D05</t>
        </is>
      </c>
      <c r="M26" s="19" t="inlineStr">
        <is>
          <t>Offen</t>
        </is>
      </c>
      <c r="N26" s="19" t="n"/>
      <c r="O26" s="19" t="n"/>
      <c r="P26" s="15" t="inlineStr">
        <is>
          <t>Unterstützend</t>
        </is>
      </c>
      <c r="Q26" s="15" t="inlineStr">
        <is>
          <t>Kern</t>
        </is>
      </c>
      <c r="R26" s="15" t="inlineStr">
        <is>
          <t>features/consent</t>
        </is>
      </c>
      <c r="S26" s="15" t="inlineStr">
        <is>
          <t>Erlaubt</t>
        </is>
      </c>
      <c r="T26" s="15" t="n"/>
    </row>
    <row r="27" ht="67.5" customHeight="1" s="11">
      <c r="A27" s="16" t="inlineStr">
        <is>
          <t>T-U027-02</t>
        </is>
      </c>
      <c r="B27" s="16" t="inlineStr">
        <is>
          <t>U027</t>
        </is>
      </c>
      <c r="C27" s="16" t="inlineStr">
        <is>
          <t>M1</t>
        </is>
      </c>
      <c r="D27" s="16" t="n">
        <v>24</v>
      </c>
      <c r="E27" s="16" t="inlineStr">
        <is>
          <t>Zustimmung und Ablehnung anzeigen</t>
        </is>
      </c>
      <c r="F27" s="16" t="inlineStr">
        <is>
          <t>Code</t>
        </is>
      </c>
      <c r="G27" s="19" t="n">
        <v>2</v>
      </c>
      <c r="H27" s="19" t="n">
        <v>1</v>
      </c>
      <c r="I27" s="18">
        <f>(G27+H27)/2</f>
        <v/>
      </c>
      <c r="J27" s="19" t="n">
        <v>3</v>
      </c>
      <c r="K27" s="16" t="inlineStr">
        <is>
          <t>T-U027-01</t>
        </is>
      </c>
      <c r="L27" s="16" t="n"/>
      <c r="M27" s="19" t="inlineStr">
        <is>
          <t>Offen</t>
        </is>
      </c>
      <c r="N27" s="19" t="n"/>
      <c r="O27" s="19" t="n"/>
      <c r="P27" s="16" t="inlineStr">
        <is>
          <t>Nach menschlicher Freigabe</t>
        </is>
      </c>
      <c r="Q27" s="16" t="inlineStr">
        <is>
          <t>Kern</t>
        </is>
      </c>
      <c r="R27" s="16" t="inlineStr">
        <is>
          <t>apps/web</t>
        </is>
      </c>
      <c r="S27" s="16" t="inlineStr">
        <is>
          <t>Erlaubt</t>
        </is>
      </c>
      <c r="T27" s="16" t="n"/>
    </row>
    <row r="28" ht="67.5" customHeight="1" s="11">
      <c r="A28" s="15" t="inlineStr">
        <is>
          <t>T-U027-03</t>
        </is>
      </c>
      <c r="B28" s="15" t="inlineStr">
        <is>
          <t>U027</t>
        </is>
      </c>
      <c r="C28" s="15" t="inlineStr">
        <is>
          <t>M1</t>
        </is>
      </c>
      <c r="D28" s="15" t="n">
        <v>25</v>
      </c>
      <c r="E28" s="15" t="inlineStr">
        <is>
          <t>Serverseitige Freigabe prüfen</t>
        </is>
      </c>
      <c r="F28" s="15" t="inlineStr">
        <is>
          <t>Test</t>
        </is>
      </c>
      <c r="G28" s="19" t="n">
        <v>2</v>
      </c>
      <c r="H28" s="19" t="n">
        <v>1</v>
      </c>
      <c r="I28" s="18">
        <f>(G28+H28)/2</f>
        <v/>
      </c>
      <c r="J28" s="19" t="n">
        <v>3</v>
      </c>
      <c r="K28" s="15" t="inlineStr">
        <is>
          <t>T-U027-02</t>
        </is>
      </c>
      <c r="L28" s="15" t="n"/>
      <c r="M28" s="19" t="inlineStr">
        <is>
          <t>Offen</t>
        </is>
      </c>
      <c r="N28" s="19" t="n"/>
      <c r="O28" s="19" t="n"/>
      <c r="P28" s="15" t="inlineStr">
        <is>
          <t>Unterstützend</t>
        </is>
      </c>
      <c r="Q28" s="15" t="inlineStr">
        <is>
          <t>Kern</t>
        </is>
      </c>
      <c r="R28" s="15" t="inlineStr">
        <is>
          <t>features/consent</t>
        </is>
      </c>
      <c r="S28" s="15" t="inlineStr">
        <is>
          <t>Erlaubt</t>
        </is>
      </c>
      <c r="T28" s="15" t="n"/>
    </row>
    <row r="29" ht="67.5" customHeight="1" s="11">
      <c r="A29" s="16" t="inlineStr">
        <is>
          <t>T-U027-04</t>
        </is>
      </c>
      <c r="B29" s="16" t="inlineStr">
        <is>
          <t>U027</t>
        </is>
      </c>
      <c r="C29" s="16" t="inlineStr">
        <is>
          <t>M1</t>
        </is>
      </c>
      <c r="D29" s="16" t="n">
        <v>26</v>
      </c>
      <c r="E29" s="16" t="inlineStr">
        <is>
          <t>Widerruf mit laufender Anfrage behandeln</t>
        </is>
      </c>
      <c r="F29" s="16" t="inlineStr">
        <is>
          <t>Code</t>
        </is>
      </c>
      <c r="G29" s="19" t="n">
        <v>2</v>
      </c>
      <c r="H29" s="19" t="n">
        <v>1</v>
      </c>
      <c r="I29" s="18">
        <f>(G29+H29)/2</f>
        <v/>
      </c>
      <c r="J29" s="19" t="n">
        <v>3</v>
      </c>
      <c r="K29" s="16" t="inlineStr">
        <is>
          <t>T-U027-03</t>
        </is>
      </c>
      <c r="L29" s="16" t="n"/>
      <c r="M29" s="19" t="inlineStr">
        <is>
          <t>Offen</t>
        </is>
      </c>
      <c r="N29" s="19" t="n"/>
      <c r="O29" s="19" t="n"/>
      <c r="P29" s="16" t="inlineStr">
        <is>
          <t>Nach menschlicher Freigabe</t>
        </is>
      </c>
      <c r="Q29" s="16" t="inlineStr">
        <is>
          <t>Kern</t>
        </is>
      </c>
      <c r="R29" s="16" t="inlineStr">
        <is>
          <t>features/consent</t>
        </is>
      </c>
      <c r="S29" s="16" t="inlineStr">
        <is>
          <t>Erlaubt</t>
        </is>
      </c>
      <c r="T29" s="16" t="n"/>
    </row>
    <row r="30" ht="67.5" customHeight="1" s="11">
      <c r="A30" s="15" t="inlineStr">
        <is>
          <t>F010</t>
        </is>
      </c>
      <c r="B30" s="15" t="inlineStr">
        <is>
          <t>BASIS</t>
        </is>
      </c>
      <c r="C30" s="15" t="inlineStr">
        <is>
          <t>M1</t>
        </is>
      </c>
      <c r="D30" s="15" t="n">
        <v>27</v>
      </c>
      <c r="E30" s="15" t="inlineStr">
        <is>
          <t>Einwilligungsgeprüfte Modellroute verbinden</t>
        </is>
      </c>
      <c r="F30" s="15" t="inlineStr">
        <is>
          <t>Code</t>
        </is>
      </c>
      <c r="G30" s="19" t="n">
        <v>2</v>
      </c>
      <c r="H30" s="19" t="n">
        <v>1</v>
      </c>
      <c r="I30" s="18">
        <f>(G30+H30)/2</f>
        <v/>
      </c>
      <c r="J30" s="19" t="n">
        <v>3</v>
      </c>
      <c r="K30" s="15" t="inlineStr">
        <is>
          <t>F008, F009, T-U027-04</t>
        </is>
      </c>
      <c r="L30" s="15" t="n"/>
      <c r="M30" s="19" t="inlineStr">
        <is>
          <t>Offen</t>
        </is>
      </c>
      <c r="N30" s="19" t="n"/>
      <c r="O30" s="19" t="n"/>
      <c r="P30" s="15" t="inlineStr">
        <is>
          <t>Nach menschlicher Freigabe</t>
        </is>
      </c>
      <c r="Q30" s="15" t="inlineStr">
        <is>
          <t>Kern</t>
        </is>
      </c>
      <c r="R30" s="15" t="inlineStr">
        <is>
          <t>features/chat, security</t>
        </is>
      </c>
      <c r="S30" s="15" t="inlineStr">
        <is>
          <t>Erlaubt</t>
        </is>
      </c>
      <c r="T30" s="15" t="n"/>
    </row>
    <row r="31" ht="67.5" customHeight="1" s="11">
      <c r="A31" s="16" t="inlineStr">
        <is>
          <t>T-U028-01</t>
        </is>
      </c>
      <c r="B31" s="16" t="inlineStr">
        <is>
          <t>U028</t>
        </is>
      </c>
      <c r="C31" s="16" t="inlineStr">
        <is>
          <t>M1</t>
        </is>
      </c>
      <c r="D31" s="16" t="n">
        <v>28</v>
      </c>
      <c r="E31" s="16" t="inlineStr">
        <is>
          <t>KI-Hinweis abstimmen</t>
        </is>
      </c>
      <c r="F31" s="16" t="inlineStr">
        <is>
          <t>Research</t>
        </is>
      </c>
      <c r="G31" s="19" t="n">
        <v>1</v>
      </c>
      <c r="H31" s="19" t="n">
        <v>3</v>
      </c>
      <c r="I31" s="18">
        <f>(G31+H31)/2</f>
        <v/>
      </c>
      <c r="J31" s="19" t="n">
        <v>2</v>
      </c>
      <c r="K31" s="16" t="inlineStr">
        <is>
          <t>F005, F009</t>
        </is>
      </c>
      <c r="L31" s="16" t="inlineStr">
        <is>
          <t>D05</t>
        </is>
      </c>
      <c r="M31" s="19" t="inlineStr">
        <is>
          <t>Offen</t>
        </is>
      </c>
      <c r="N31" s="19" t="n"/>
      <c r="O31" s="19" t="n"/>
      <c r="P31" s="16" t="inlineStr">
        <is>
          <t>Unterstützend</t>
        </is>
      </c>
      <c r="Q31" s="16" t="inlineStr">
        <is>
          <t>Kern</t>
        </is>
      </c>
      <c r="R31" s="16" t="inlineStr">
        <is>
          <t>knowledge</t>
        </is>
      </c>
      <c r="S31" s="16" t="inlineStr">
        <is>
          <t>Erlaubt</t>
        </is>
      </c>
      <c r="T31" s="16" t="n"/>
    </row>
    <row r="32" ht="67.5" customHeight="1" s="11">
      <c r="A32" s="15" t="inlineStr">
        <is>
          <t>T-U028-02</t>
        </is>
      </c>
      <c r="B32" s="15" t="inlineStr">
        <is>
          <t>U028</t>
        </is>
      </c>
      <c r="C32" s="15" t="inlineStr">
        <is>
          <t>M1</t>
        </is>
      </c>
      <c r="D32" s="15" t="n">
        <v>29</v>
      </c>
      <c r="E32" s="15" t="inlineStr">
        <is>
          <t>Dauerhafte KI-Kennzeichnung einbauen</t>
        </is>
      </c>
      <c r="F32" s="15" t="inlineStr">
        <is>
          <t>Code</t>
        </is>
      </c>
      <c r="G32" s="19" t="n">
        <v>2</v>
      </c>
      <c r="H32" s="19" t="n">
        <v>1</v>
      </c>
      <c r="I32" s="18">
        <f>(G32+H32)/2</f>
        <v/>
      </c>
      <c r="J32" s="19" t="n">
        <v>3</v>
      </c>
      <c r="K32" s="15" t="inlineStr">
        <is>
          <t>T-U028-01</t>
        </is>
      </c>
      <c r="L32" s="15" t="n"/>
      <c r="M32" s="19" t="inlineStr">
        <is>
          <t>Offen</t>
        </is>
      </c>
      <c r="N32" s="19" t="n"/>
      <c r="O32" s="19" t="n"/>
      <c r="P32" s="15" t="inlineStr">
        <is>
          <t>Nach menschlicher Freigabe</t>
        </is>
      </c>
      <c r="Q32" s="15" t="inlineStr">
        <is>
          <t>Kern</t>
        </is>
      </c>
      <c r="R32" s="15" t="inlineStr">
        <is>
          <t>apps/web</t>
        </is>
      </c>
      <c r="S32" s="15" t="inlineStr">
        <is>
          <t>Erlaubt</t>
        </is>
      </c>
      <c r="T32" s="15" t="n"/>
    </row>
    <row r="33" ht="67.5" customHeight="1" s="11">
      <c r="A33" s="16" t="inlineStr">
        <is>
          <t>F015</t>
        </is>
      </c>
      <c r="B33" s="16" t="inlineStr">
        <is>
          <t>BASIS</t>
        </is>
      </c>
      <c r="C33" s="16" t="inlineStr">
        <is>
          <t>M1</t>
        </is>
      </c>
      <c r="D33" s="16" t="n">
        <v>30</v>
      </c>
      <c r="E33" s="16" t="inlineStr">
        <is>
          <t>M1-Abnahmelauf dokumentieren</t>
        </is>
      </c>
      <c r="F33" s="16" t="inlineStr">
        <is>
          <t>Test</t>
        </is>
      </c>
      <c r="G33" s="19" t="n">
        <v>2</v>
      </c>
      <c r="H33" s="19" t="n">
        <v>1</v>
      </c>
      <c r="I33" s="18">
        <f>(G33+H33)/2</f>
        <v/>
      </c>
      <c r="J33" s="19" t="n">
        <v>3</v>
      </c>
      <c r="K33" s="16" t="inlineStr">
        <is>
          <t>F010, F004, T-U004-03, T-U009-04, T-U010-03, T-U026-03, T-U028-02</t>
        </is>
      </c>
      <c r="L33" s="16" t="n"/>
      <c r="M33" s="19" t="inlineStr">
        <is>
          <t>Offen</t>
        </is>
      </c>
      <c r="N33" s="19" t="n"/>
      <c r="O33" s="19" t="n"/>
      <c r="P33" s="16" t="inlineStr">
        <is>
          <t>Unterstützend</t>
        </is>
      </c>
      <c r="Q33" s="16" t="inlineStr">
        <is>
          <t>Kern</t>
        </is>
      </c>
      <c r="R33" s="16" t="inlineStr">
        <is>
          <t>evals</t>
        </is>
      </c>
      <c r="S33" s="16" t="inlineStr">
        <is>
          <t>Erlaubt</t>
        </is>
      </c>
      <c r="T33" s="16" t="n"/>
    </row>
    <row r="34" ht="67.5" customHeight="1" s="11">
      <c r="A34" s="15" t="inlineStr">
        <is>
          <t>T-U017-01</t>
        </is>
      </c>
      <c r="B34" s="15" t="inlineStr">
        <is>
          <t>U017</t>
        </is>
      </c>
      <c r="C34" s="15" t="inlineStr">
        <is>
          <t>M1</t>
        </is>
      </c>
      <c r="D34" s="15" t="n">
        <v>31</v>
      </c>
      <c r="E34" s="15" t="inlineStr">
        <is>
          <t>Deutsch-Englisch-Textkatalog erstellen</t>
        </is>
      </c>
      <c r="F34" s="15" t="inlineStr">
        <is>
          <t>Code</t>
        </is>
      </c>
      <c r="G34" s="19" t="n">
        <v>2</v>
      </c>
      <c r="H34" s="19" t="n">
        <v>1</v>
      </c>
      <c r="I34" s="18">
        <f>(G34+H34)/2</f>
        <v/>
      </c>
      <c r="J34" s="19" t="n">
        <v>3</v>
      </c>
      <c r="K34" s="15" t="inlineStr">
        <is>
          <t>F007, T-U009-04, T-U010-03, T-U026-03, T-U028-02</t>
        </is>
      </c>
      <c r="L34" s="15" t="inlineStr">
        <is>
          <t>D07</t>
        </is>
      </c>
      <c r="M34" s="19" t="inlineStr">
        <is>
          <t>Offen</t>
        </is>
      </c>
      <c r="N34" s="19" t="n"/>
      <c r="O34" s="19" t="n"/>
      <c r="P34" s="15" t="inlineStr">
        <is>
          <t>Nach menschlicher Freigabe</t>
        </is>
      </c>
      <c r="Q34" s="15" t="inlineStr">
        <is>
          <t>Kern</t>
        </is>
      </c>
      <c r="R34" s="15" t="inlineStr">
        <is>
          <t>apps/web</t>
        </is>
      </c>
      <c r="S34" s="15" t="inlineStr">
        <is>
          <t>Erlaubt</t>
        </is>
      </c>
      <c r="T34" s="15" t="inlineStr">
        <is>
          <t>Entscheidung DE/EN 14.10.2026</t>
        </is>
      </c>
    </row>
    <row r="35" ht="67.5" customHeight="1" s="11">
      <c r="A35" s="16" t="inlineStr">
        <is>
          <t>T-U017-02</t>
        </is>
      </c>
      <c r="B35" s="16" t="inlineStr">
        <is>
          <t>U017</t>
        </is>
      </c>
      <c r="C35" s="16" t="inlineStr">
        <is>
          <t>M1</t>
        </is>
      </c>
      <c r="D35" s="16" t="n">
        <v>32</v>
      </c>
      <c r="E35" s="16" t="inlineStr">
        <is>
          <t>Sprachwahl durchgängig übergeben</t>
        </is>
      </c>
      <c r="F35" s="16" t="inlineStr">
        <is>
          <t>Code</t>
        </is>
      </c>
      <c r="G35" s="19" t="n">
        <v>2</v>
      </c>
      <c r="H35" s="19" t="n">
        <v>1</v>
      </c>
      <c r="I35" s="18">
        <f>(G35+H35)/2</f>
        <v/>
      </c>
      <c r="J35" s="19" t="n">
        <v>3</v>
      </c>
      <c r="K35" s="16" t="inlineStr">
        <is>
          <t>T-U017-01</t>
        </is>
      </c>
      <c r="L35" s="16" t="n"/>
      <c r="M35" s="19" t="inlineStr">
        <is>
          <t>Offen</t>
        </is>
      </c>
      <c r="N35" s="19" t="n"/>
      <c r="O35" s="19" t="n"/>
      <c r="P35" s="16" t="inlineStr">
        <is>
          <t>Nach menschlicher Freigabe</t>
        </is>
      </c>
      <c r="Q35" s="16" t="inlineStr">
        <is>
          <t>Kern</t>
        </is>
      </c>
      <c r="R35" s="16" t="inlineStr">
        <is>
          <t>apps/web</t>
        </is>
      </c>
      <c r="S35" s="16" t="inlineStr">
        <is>
          <t>Erlaubt</t>
        </is>
      </c>
      <c r="T35" s="16" t="inlineStr">
        <is>
          <t>Entscheidung DE/EN 14.10.2026</t>
        </is>
      </c>
    </row>
    <row r="36" ht="67.5" customHeight="1" s="11">
      <c r="A36" s="15" t="inlineStr">
        <is>
          <t>T-U017-03</t>
        </is>
      </c>
      <c r="B36" s="15" t="inlineStr">
        <is>
          <t>U017</t>
        </is>
      </c>
      <c r="C36" s="15" t="inlineStr">
        <is>
          <t>M1</t>
        </is>
      </c>
      <c r="D36" s="15" t="n">
        <v>33</v>
      </c>
      <c r="E36" s="15" t="inlineStr">
        <is>
          <t>Zweisprachige Kernabläufe prüfen</t>
        </is>
      </c>
      <c r="F36" s="15" t="inlineStr">
        <is>
          <t>Test</t>
        </is>
      </c>
      <c r="G36" s="19" t="n">
        <v>2</v>
      </c>
      <c r="H36" s="19" t="n">
        <v>1</v>
      </c>
      <c r="I36" s="18">
        <f>(G36+H36)/2</f>
        <v/>
      </c>
      <c r="J36" s="19" t="n">
        <v>3</v>
      </c>
      <c r="K36" s="15" t="inlineStr">
        <is>
          <t>T-U017-02</t>
        </is>
      </c>
      <c r="L36" s="15" t="n"/>
      <c r="M36" s="19" t="inlineStr">
        <is>
          <t>Offen</t>
        </is>
      </c>
      <c r="N36" s="19" t="n"/>
      <c r="O36" s="19" t="n"/>
      <c r="P36" s="15" t="inlineStr">
        <is>
          <t>Unterstützend</t>
        </is>
      </c>
      <c r="Q36" s="15" t="inlineStr">
        <is>
          <t>Kern</t>
        </is>
      </c>
      <c r="R36" s="15" t="inlineStr">
        <is>
          <t>apps/web</t>
        </is>
      </c>
      <c r="S36" s="15" t="inlineStr">
        <is>
          <t>Erlaubt</t>
        </is>
      </c>
      <c r="T36" s="15" t="inlineStr">
        <is>
          <t>Entscheidung DE/EN 14.10.2026</t>
        </is>
      </c>
    </row>
    <row r="37" ht="67.5" customHeight="1" s="11">
      <c r="A37" s="16" t="inlineStr">
        <is>
          <t>F011</t>
        </is>
      </c>
      <c r="B37" s="16" t="inlineStr">
        <is>
          <t>BASIS</t>
        </is>
      </c>
      <c r="C37" s="16" t="inlineStr">
        <is>
          <t>M2</t>
        </is>
      </c>
      <c r="D37" s="16" t="n">
        <v>34</v>
      </c>
      <c r="E37" s="16" t="inlineStr">
        <is>
          <t>Zwei Testkonten und Sitzungsidentität einrichten</t>
        </is>
      </c>
      <c r="F37" s="16" t="inlineStr">
        <is>
          <t>Code</t>
        </is>
      </c>
      <c r="G37" s="19" t="n">
        <v>2</v>
      </c>
      <c r="H37" s="19" t="n">
        <v>1</v>
      </c>
      <c r="I37" s="18">
        <f>(G37+H37)/2</f>
        <v/>
      </c>
      <c r="J37" s="19" t="n">
        <v>3</v>
      </c>
      <c r="K37" s="16" t="inlineStr">
        <is>
          <t>F007</t>
        </is>
      </c>
      <c r="L37" s="16" t="inlineStr">
        <is>
          <t>D05</t>
        </is>
      </c>
      <c r="M37" s="19" t="inlineStr">
        <is>
          <t>Offen</t>
        </is>
      </c>
      <c r="N37" s="19" t="n"/>
      <c r="O37" s="19" t="n"/>
      <c r="P37" s="16" t="inlineStr">
        <is>
          <t>Nach menschlicher Freigabe</t>
        </is>
      </c>
      <c r="Q37" s="16" t="inlineStr">
        <is>
          <t>Kern</t>
        </is>
      </c>
      <c r="R37" s="16" t="inlineStr">
        <is>
          <t>security</t>
        </is>
      </c>
      <c r="S37" s="16" t="inlineStr">
        <is>
          <t>Erlaubt</t>
        </is>
      </c>
      <c r="T37" s="16" t="n"/>
    </row>
    <row r="38" ht="67.5" customHeight="1" s="11">
      <c r="A38" s="15" t="inlineStr">
        <is>
          <t>F012</t>
        </is>
      </c>
      <c r="B38" s="15" t="inlineStr">
        <is>
          <t>BASIS</t>
        </is>
      </c>
      <c r="C38" s="15" t="inlineStr">
        <is>
          <t>M2</t>
        </is>
      </c>
      <c r="D38" s="15" t="n">
        <v>35</v>
      </c>
      <c r="E38" s="15" t="inlineStr">
        <is>
          <t>FHIR-Datenvertrag und Fixtures festlegen</t>
        </is>
      </c>
      <c r="F38" s="15" t="inlineStr">
        <is>
          <t>Research</t>
        </is>
      </c>
      <c r="G38" s="19" t="n">
        <v>1</v>
      </c>
      <c r="H38" s="19" t="n">
        <v>3</v>
      </c>
      <c r="I38" s="18">
        <f>(G38+H38)/2</f>
        <v/>
      </c>
      <c r="J38" s="19" t="n">
        <v>2</v>
      </c>
      <c r="K38" s="15" t="inlineStr">
        <is>
          <t>F009</t>
        </is>
      </c>
      <c r="L38" s="15" t="inlineStr">
        <is>
          <t>D02</t>
        </is>
      </c>
      <c r="M38" s="19" t="inlineStr">
        <is>
          <t>Offen</t>
        </is>
      </c>
      <c r="N38" s="19" t="n"/>
      <c r="O38" s="19" t="n"/>
      <c r="P38" s="15" t="inlineStr">
        <is>
          <t>Unterstützend</t>
        </is>
      </c>
      <c r="Q38" s="15" t="inlineStr">
        <is>
          <t>Kern</t>
        </is>
      </c>
      <c r="R38" s="15" t="inlineStr">
        <is>
          <t>contracts/fhir, data/synthetic</t>
        </is>
      </c>
      <c r="S38" s="15" t="inlineStr">
        <is>
          <t>Erlaubt</t>
        </is>
      </c>
      <c r="T38" s="15" t="n"/>
    </row>
    <row r="39" ht="67.5" customHeight="1" s="11">
      <c r="A39" s="16" t="inlineStr">
        <is>
          <t>F013</t>
        </is>
      </c>
      <c r="B39" s="16" t="inlineStr">
        <is>
          <t>BASIS</t>
        </is>
      </c>
      <c r="C39" s="16" t="inlineStr">
        <is>
          <t>M2</t>
        </is>
      </c>
      <c r="D39" s="16" t="n">
        <v>36</v>
      </c>
      <c r="E39" s="16" t="inlineStr">
        <is>
          <t>Speicherschnittstelle für eigene App-Daten bereitstellen</t>
        </is>
      </c>
      <c r="F39" s="16" t="inlineStr">
        <is>
          <t>Code</t>
        </is>
      </c>
      <c r="G39" s="19" t="n">
        <v>2</v>
      </c>
      <c r="H39" s="19" t="n">
        <v>1</v>
      </c>
      <c r="I39" s="18">
        <f>(G39+H39)/2</f>
        <v/>
      </c>
      <c r="J39" s="19" t="n">
        <v>3</v>
      </c>
      <c r="K39" s="16" t="inlineStr">
        <is>
          <t>F011</t>
        </is>
      </c>
      <c r="L39" s="16" t="inlineStr">
        <is>
          <t>D06</t>
        </is>
      </c>
      <c r="M39" s="19" t="inlineStr">
        <is>
          <t>Offen</t>
        </is>
      </c>
      <c r="N39" s="19" t="n"/>
      <c r="O39" s="19" t="n"/>
      <c r="P39" s="16" t="inlineStr">
        <is>
          <t>Nach menschlicher Freigabe</t>
        </is>
      </c>
      <c r="Q39" s="16" t="inlineStr">
        <is>
          <t>Kern</t>
        </is>
      </c>
      <c r="R39" s="16" t="inlineStr">
        <is>
          <t>adapters/db</t>
        </is>
      </c>
      <c r="S39" s="16" t="inlineStr">
        <is>
          <t>Erlaubt</t>
        </is>
      </c>
      <c r="T39" s="16" t="n"/>
    </row>
    <row r="40" ht="67.5" customHeight="1" s="11">
      <c r="A40" s="15" t="inlineStr">
        <is>
          <t>T-U005-01</t>
        </is>
      </c>
      <c r="B40" s="15" t="inlineStr">
        <is>
          <t>U005</t>
        </is>
      </c>
      <c r="C40" s="15" t="inlineStr">
        <is>
          <t>M2</t>
        </is>
      </c>
      <c r="D40" s="15" t="n">
        <v>37</v>
      </c>
      <c r="E40" s="15" t="inlineStr">
        <is>
          <t>Berechtigungsmatrix definieren</t>
        </is>
      </c>
      <c r="F40" s="15" t="inlineStr">
        <is>
          <t>Research</t>
        </is>
      </c>
      <c r="G40" s="19" t="n">
        <v>1</v>
      </c>
      <c r="H40" s="19" t="n">
        <v>3</v>
      </c>
      <c r="I40" s="18">
        <f>(G40+H40)/2</f>
        <v/>
      </c>
      <c r="J40" s="19" t="n">
        <v>2</v>
      </c>
      <c r="K40" s="15" t="inlineStr">
        <is>
          <t>F007, F011, F012</t>
        </is>
      </c>
      <c r="L40" s="15" t="inlineStr">
        <is>
          <t>D05</t>
        </is>
      </c>
      <c r="M40" s="19" t="inlineStr">
        <is>
          <t>Offen</t>
        </is>
      </c>
      <c r="N40" s="19" t="n"/>
      <c r="O40" s="19" t="n"/>
      <c r="P40" s="15" t="inlineStr">
        <is>
          <t>Unterstützend</t>
        </is>
      </c>
      <c r="Q40" s="15" t="inlineStr">
        <is>
          <t>Kern</t>
        </is>
      </c>
      <c r="R40" s="15" t="inlineStr">
        <is>
          <t>security</t>
        </is>
      </c>
      <c r="S40" s="15" t="inlineStr">
        <is>
          <t>Erlaubt</t>
        </is>
      </c>
      <c r="T40" s="15" t="n"/>
    </row>
    <row r="41" ht="67.5" customHeight="1" s="11">
      <c r="A41" s="16" t="inlineStr">
        <is>
          <t>T-U005-02</t>
        </is>
      </c>
      <c r="B41" s="16" t="inlineStr">
        <is>
          <t>U005</t>
        </is>
      </c>
      <c r="C41" s="16" t="inlineStr">
        <is>
          <t>M2</t>
        </is>
      </c>
      <c r="D41" s="16" t="n">
        <v>38</v>
      </c>
      <c r="E41" s="16" t="inlineStr">
        <is>
          <t>Eigentumsprüfung im Datenzugriff einbauen</t>
        </is>
      </c>
      <c r="F41" s="16" t="inlineStr">
        <is>
          <t>Code</t>
        </is>
      </c>
      <c r="G41" s="19" t="n">
        <v>2</v>
      </c>
      <c r="H41" s="19" t="n">
        <v>1</v>
      </c>
      <c r="I41" s="18">
        <f>(G41+H41)/2</f>
        <v/>
      </c>
      <c r="J41" s="19" t="n">
        <v>3</v>
      </c>
      <c r="K41" s="16" t="inlineStr">
        <is>
          <t>T-U005-01</t>
        </is>
      </c>
      <c r="L41" s="16" t="n"/>
      <c r="M41" s="19" t="inlineStr">
        <is>
          <t>Offen</t>
        </is>
      </c>
      <c r="N41" s="19" t="n"/>
      <c r="O41" s="19" t="n"/>
      <c r="P41" s="16" t="inlineStr">
        <is>
          <t>Nach menschlicher Freigabe</t>
        </is>
      </c>
      <c r="Q41" s="16" t="inlineStr">
        <is>
          <t>Kern</t>
        </is>
      </c>
      <c r="R41" s="16" t="inlineStr">
        <is>
          <t>apps/web</t>
        </is>
      </c>
      <c r="S41" s="16" t="inlineStr">
        <is>
          <t>Erlaubt</t>
        </is>
      </c>
      <c r="T41" s="16" t="n"/>
    </row>
    <row r="42" ht="67.5" customHeight="1" s="11">
      <c r="A42" s="15" t="inlineStr">
        <is>
          <t>T-U005-03</t>
        </is>
      </c>
      <c r="B42" s="15" t="inlineStr">
        <is>
          <t>U005</t>
        </is>
      </c>
      <c r="C42" s="15" t="inlineStr">
        <is>
          <t>M2</t>
        </is>
      </c>
      <c r="D42" s="15" t="n">
        <v>39</v>
      </c>
      <c r="E42" s="15" t="inlineStr">
        <is>
          <t>Daten als nicht vertrauenswürdigen Inhalt behandeln</t>
        </is>
      </c>
      <c r="F42" s="15" t="inlineStr">
        <is>
          <t>Code</t>
        </is>
      </c>
      <c r="G42" s="19" t="n">
        <v>2</v>
      </c>
      <c r="H42" s="19" t="n">
        <v>1</v>
      </c>
      <c r="I42" s="18">
        <f>(G42+H42)/2</f>
        <v/>
      </c>
      <c r="J42" s="19" t="n">
        <v>3</v>
      </c>
      <c r="K42" s="15" t="inlineStr">
        <is>
          <t>T-U005-02</t>
        </is>
      </c>
      <c r="L42" s="15" t="n"/>
      <c r="M42" s="19" t="inlineStr">
        <is>
          <t>Offen</t>
        </is>
      </c>
      <c r="N42" s="19" t="n"/>
      <c r="O42" s="19" t="n"/>
      <c r="P42" s="15" t="inlineStr">
        <is>
          <t>Nach menschlicher Freigabe</t>
        </is>
      </c>
      <c r="Q42" s="15" t="inlineStr">
        <is>
          <t>Kern</t>
        </is>
      </c>
      <c r="R42" s="15" t="inlineStr">
        <is>
          <t>security</t>
        </is>
      </c>
      <c r="S42" s="15" t="inlineStr">
        <is>
          <t>Erlaubt</t>
        </is>
      </c>
      <c r="T42" s="15" t="n"/>
    </row>
    <row r="43" ht="67.5" customHeight="1" s="11">
      <c r="A43" s="16" t="inlineStr">
        <is>
          <t>T-U005-04</t>
        </is>
      </c>
      <c r="B43" s="16" t="inlineStr">
        <is>
          <t>U005</t>
        </is>
      </c>
      <c r="C43" s="16" t="inlineStr">
        <is>
          <t>M2</t>
        </is>
      </c>
      <c r="D43" s="16" t="n">
        <v>40</v>
      </c>
      <c r="E43" s="16" t="inlineStr">
        <is>
          <t>Zugriffsfehler sicher darstellen</t>
        </is>
      </c>
      <c r="F43" s="16" t="inlineStr">
        <is>
          <t>Code</t>
        </is>
      </c>
      <c r="G43" s="19" t="n">
        <v>2</v>
      </c>
      <c r="H43" s="19" t="n">
        <v>1</v>
      </c>
      <c r="I43" s="18">
        <f>(G43+H43)/2</f>
        <v/>
      </c>
      <c r="J43" s="19" t="n">
        <v>3</v>
      </c>
      <c r="K43" s="16" t="inlineStr">
        <is>
          <t>T-U005-03</t>
        </is>
      </c>
      <c r="L43" s="16" t="n"/>
      <c r="M43" s="19" t="inlineStr">
        <is>
          <t>Offen</t>
        </is>
      </c>
      <c r="N43" s="19" t="n"/>
      <c r="O43" s="19" t="n"/>
      <c r="P43" s="16" t="inlineStr">
        <is>
          <t>Nach menschlicher Freigabe</t>
        </is>
      </c>
      <c r="Q43" s="16" t="inlineStr">
        <is>
          <t>Kern</t>
        </is>
      </c>
      <c r="R43" s="16" t="inlineStr">
        <is>
          <t>apps/web</t>
        </is>
      </c>
      <c r="S43" s="16" t="inlineStr">
        <is>
          <t>Erlaubt</t>
        </is>
      </c>
      <c r="T43" s="16" t="n"/>
    </row>
    <row r="44" ht="67.5" customHeight="1" s="11">
      <c r="A44" s="15" t="inlineStr">
        <is>
          <t>T-U023-01</t>
        </is>
      </c>
      <c r="B44" s="15" t="inlineStr">
        <is>
          <t>U023</t>
        </is>
      </c>
      <c r="C44" s="15" t="inlineStr">
        <is>
          <t>M2</t>
        </is>
      </c>
      <c r="D44" s="15" t="n">
        <v>41</v>
      </c>
      <c r="E44" s="15" t="inlineStr">
        <is>
          <t>Quellenfreigabe-Datenmodell festlegen</t>
        </is>
      </c>
      <c r="F44" s="15" t="inlineStr">
        <is>
          <t>Research</t>
        </is>
      </c>
      <c r="G44" s="19" t="n">
        <v>1</v>
      </c>
      <c r="H44" s="19" t="n">
        <v>3</v>
      </c>
      <c r="I44" s="18">
        <f>(G44+H44)/2</f>
        <v/>
      </c>
      <c r="J44" s="19" t="n">
        <v>2</v>
      </c>
      <c r="K44" s="15" t="inlineStr">
        <is>
          <t>F007, T-U027-04, T-U005-04, F011, F012, F013, F013</t>
        </is>
      </c>
      <c r="L44" s="15" t="inlineStr">
        <is>
          <t>D05</t>
        </is>
      </c>
      <c r="M44" s="19" t="inlineStr">
        <is>
          <t>Offen</t>
        </is>
      </c>
      <c r="N44" s="19" t="n"/>
      <c r="O44" s="19" t="n"/>
      <c r="P44" s="15" t="inlineStr">
        <is>
          <t>Unterstützend</t>
        </is>
      </c>
      <c r="Q44" s="15" t="inlineStr">
        <is>
          <t>Voraussetzung für Speicherung</t>
        </is>
      </c>
      <c r="R44" s="15" t="inlineStr">
        <is>
          <t>features/consent</t>
        </is>
      </c>
      <c r="S44" s="15" t="inlineStr">
        <is>
          <t>Erlaubt</t>
        </is>
      </c>
      <c r="T44" s="15" t="n"/>
    </row>
    <row r="45" ht="67.5" customHeight="1" s="11">
      <c r="A45" s="16" t="inlineStr">
        <is>
          <t>T-U023-02</t>
        </is>
      </c>
      <c r="B45" s="16" t="inlineStr">
        <is>
          <t>U023</t>
        </is>
      </c>
      <c r="C45" s="16" t="inlineStr">
        <is>
          <t>M2</t>
        </is>
      </c>
      <c r="D45" s="16" t="n">
        <v>42</v>
      </c>
      <c r="E45" s="16" t="inlineStr">
        <is>
          <t>Quellenfreigaben speichern und prüfen</t>
        </is>
      </c>
      <c r="F45" s="16" t="inlineStr">
        <is>
          <t>Test</t>
        </is>
      </c>
      <c r="G45" s="19" t="n">
        <v>2</v>
      </c>
      <c r="H45" s="19" t="n">
        <v>1</v>
      </c>
      <c r="I45" s="18">
        <f>(G45+H45)/2</f>
        <v/>
      </c>
      <c r="J45" s="19" t="n">
        <v>3</v>
      </c>
      <c r="K45" s="16" t="inlineStr">
        <is>
          <t>T-U023-01</t>
        </is>
      </c>
      <c r="L45" s="16" t="n"/>
      <c r="M45" s="19" t="inlineStr">
        <is>
          <t>Offen</t>
        </is>
      </c>
      <c r="N45" s="19" t="n"/>
      <c r="O45" s="19" t="n"/>
      <c r="P45" s="16" t="inlineStr">
        <is>
          <t>Unterstützend</t>
        </is>
      </c>
      <c r="Q45" s="16" t="inlineStr">
        <is>
          <t>Voraussetzung für Speicherung</t>
        </is>
      </c>
      <c r="R45" s="16" t="inlineStr">
        <is>
          <t>features/consent</t>
        </is>
      </c>
      <c r="S45" s="16" t="inlineStr">
        <is>
          <t>Erlaubt</t>
        </is>
      </c>
      <c r="T45" s="16" t="n"/>
    </row>
    <row r="46" ht="67.5" customHeight="1" s="11">
      <c r="A46" s="15" t="inlineStr">
        <is>
          <t>T-U023-03</t>
        </is>
      </c>
      <c r="B46" s="15" t="inlineStr">
        <is>
          <t>U023</t>
        </is>
      </c>
      <c r="C46" s="15" t="inlineStr">
        <is>
          <t>M2</t>
        </is>
      </c>
      <c r="D46" s="15" t="n">
        <v>43</v>
      </c>
      <c r="E46" s="15" t="inlineStr">
        <is>
          <t>Quellensteuerung anzeigen</t>
        </is>
      </c>
      <c r="F46" s="15" t="inlineStr">
        <is>
          <t>Code</t>
        </is>
      </c>
      <c r="G46" s="19" t="n">
        <v>2</v>
      </c>
      <c r="H46" s="19" t="n">
        <v>1</v>
      </c>
      <c r="I46" s="18">
        <f>(G46+H46)/2</f>
        <v/>
      </c>
      <c r="J46" s="19" t="n">
        <v>3</v>
      </c>
      <c r="K46" s="15" t="inlineStr">
        <is>
          <t>T-U023-02</t>
        </is>
      </c>
      <c r="L46" s="15" t="n"/>
      <c r="M46" s="19" t="inlineStr">
        <is>
          <t>Offen</t>
        </is>
      </c>
      <c r="N46" s="19" t="n"/>
      <c r="O46" s="19" t="n"/>
      <c r="P46" s="15" t="inlineStr">
        <is>
          <t>Nach menschlicher Freigabe</t>
        </is>
      </c>
      <c r="Q46" s="15" t="inlineStr">
        <is>
          <t>Voraussetzung für Speicherung</t>
        </is>
      </c>
      <c r="R46" s="15" t="inlineStr">
        <is>
          <t>apps/web</t>
        </is>
      </c>
      <c r="S46" s="15" t="inlineStr">
        <is>
          <t>Erlaubt</t>
        </is>
      </c>
      <c r="T46" s="15" t="n"/>
    </row>
    <row r="47" ht="67.5" customHeight="1" s="11">
      <c r="A47" s="16" t="inlineStr">
        <is>
          <t>T-U023-04</t>
        </is>
      </c>
      <c r="B47" s="16" t="inlineStr">
        <is>
          <t>U023</t>
        </is>
      </c>
      <c r="C47" s="16" t="inlineStr">
        <is>
          <t>M2</t>
        </is>
      </c>
      <c r="D47" s="16" t="n">
        <v>44</v>
      </c>
      <c r="E47" s="16" t="inlineStr">
        <is>
          <t>Widerruf in Datenpfaden berücksichtigen</t>
        </is>
      </c>
      <c r="F47" s="16" t="inlineStr">
        <is>
          <t>Code</t>
        </is>
      </c>
      <c r="G47" s="19" t="n">
        <v>2</v>
      </c>
      <c r="H47" s="19" t="n">
        <v>1</v>
      </c>
      <c r="I47" s="18">
        <f>(G47+H47)/2</f>
        <v/>
      </c>
      <c r="J47" s="19" t="n">
        <v>3</v>
      </c>
      <c r="K47" s="16" t="inlineStr">
        <is>
          <t>T-U023-03</t>
        </is>
      </c>
      <c r="L47" s="16" t="n"/>
      <c r="M47" s="19" t="inlineStr">
        <is>
          <t>Offen</t>
        </is>
      </c>
      <c r="N47" s="19" t="n"/>
      <c r="O47" s="19" t="n"/>
      <c r="P47" s="16" t="inlineStr">
        <is>
          <t>Nach menschlicher Freigabe</t>
        </is>
      </c>
      <c r="Q47" s="16" t="inlineStr">
        <is>
          <t>Voraussetzung für Speicherung</t>
        </is>
      </c>
      <c r="R47" s="16" t="inlineStr">
        <is>
          <t>features/consent</t>
        </is>
      </c>
      <c r="S47" s="16" t="inlineStr">
        <is>
          <t>Erlaubt</t>
        </is>
      </c>
      <c r="T47" s="16" t="n"/>
    </row>
    <row r="48" ht="67.5" customHeight="1" s="11">
      <c r="A48" s="15" t="inlineStr">
        <is>
          <t>T-U007-01</t>
        </is>
      </c>
      <c r="B48" s="15" t="inlineStr">
        <is>
          <t>U007</t>
        </is>
      </c>
      <c r="C48" s="15" t="inlineStr">
        <is>
          <t>M2</t>
        </is>
      </c>
      <c r="D48" s="15" t="n">
        <v>45</v>
      </c>
      <c r="E48" s="15" t="inlineStr">
        <is>
          <t>Messwert-Abfragevertrag festlegen</t>
        </is>
      </c>
      <c r="F48" s="15" t="inlineStr">
        <is>
          <t>Research</t>
        </is>
      </c>
      <c r="G48" s="19" t="n">
        <v>1</v>
      </c>
      <c r="H48" s="19" t="n">
        <v>3</v>
      </c>
      <c r="I48" s="18">
        <f>(G48+H48)/2</f>
        <v/>
      </c>
      <c r="J48" s="19" t="n">
        <v>2</v>
      </c>
      <c r="K48" s="15" t="inlineStr">
        <is>
          <t>F007, T-U005-04, T-U023-04, F011, F012</t>
        </is>
      </c>
      <c r="L48" s="15" t="inlineStr">
        <is>
          <t>D02</t>
        </is>
      </c>
      <c r="M48" s="19" t="inlineStr">
        <is>
          <t>Offen</t>
        </is>
      </c>
      <c r="N48" s="19" t="n"/>
      <c r="O48" s="19" t="n"/>
      <c r="P48" s="15" t="inlineStr">
        <is>
          <t>Unterstützend</t>
        </is>
      </c>
      <c r="Q48" s="15" t="inlineStr">
        <is>
          <t>Kern</t>
        </is>
      </c>
      <c r="R48" s="15" t="inlineStr">
        <is>
          <t>features/health_data</t>
        </is>
      </c>
      <c r="S48" s="15" t="inlineStr">
        <is>
          <t>Erlaubt</t>
        </is>
      </c>
      <c r="T48" s="15" t="n"/>
    </row>
    <row r="49" ht="67.5" customHeight="1" s="11">
      <c r="A49" s="16" t="inlineStr">
        <is>
          <t>T-U007-02</t>
        </is>
      </c>
      <c r="B49" s="16" t="inlineStr">
        <is>
          <t>U007</t>
        </is>
      </c>
      <c r="C49" s="16" t="inlineStr">
        <is>
          <t>M2</t>
        </is>
      </c>
      <c r="D49" s="16" t="n">
        <v>46</v>
      </c>
      <c r="E49" s="16" t="inlineStr">
        <is>
          <t>FHIR-Testadapter für eine Ressource schreiben</t>
        </is>
      </c>
      <c r="F49" s="16" t="inlineStr">
        <is>
          <t>Code</t>
        </is>
      </c>
      <c r="G49" s="19" t="n">
        <v>2</v>
      </c>
      <c r="H49" s="19" t="n">
        <v>1</v>
      </c>
      <c r="I49" s="18">
        <f>(G49+H49)/2</f>
        <v/>
      </c>
      <c r="J49" s="19" t="n">
        <v>3</v>
      </c>
      <c r="K49" s="16" t="inlineStr">
        <is>
          <t>T-U007-01</t>
        </is>
      </c>
      <c r="L49" s="16" t="n"/>
      <c r="M49" s="19" t="inlineStr">
        <is>
          <t>Offen</t>
        </is>
      </c>
      <c r="N49" s="19" t="n"/>
      <c r="O49" s="19" t="n"/>
      <c r="P49" s="16" t="inlineStr">
        <is>
          <t>Nach menschlicher Freigabe</t>
        </is>
      </c>
      <c r="Q49" s="16" t="inlineStr">
        <is>
          <t>Kern</t>
        </is>
      </c>
      <c r="R49" s="16" t="inlineStr">
        <is>
          <t>features/health_data</t>
        </is>
      </c>
      <c r="S49" s="16" t="inlineStr">
        <is>
          <t>Erlaubt</t>
        </is>
      </c>
      <c r="T49" s="16" t="n"/>
    </row>
    <row r="50" ht="67.5" customHeight="1" s="11">
      <c r="A50" s="15" t="inlineStr">
        <is>
          <t>T-U007-03</t>
        </is>
      </c>
      <c r="B50" s="15" t="inlineStr">
        <is>
          <t>U007</t>
        </is>
      </c>
      <c r="C50" s="15" t="inlineStr">
        <is>
          <t>M2</t>
        </is>
      </c>
      <c r="D50" s="15" t="n">
        <v>47</v>
      </c>
      <c r="E50" s="15" t="inlineStr">
        <is>
          <t>Eigenabruf-Endpunkt anbinden</t>
        </is>
      </c>
      <c r="F50" s="15" t="inlineStr">
        <is>
          <t>Code</t>
        </is>
      </c>
      <c r="G50" s="19" t="n">
        <v>2</v>
      </c>
      <c r="H50" s="19" t="n">
        <v>1</v>
      </c>
      <c r="I50" s="18">
        <f>(G50+H50)/2</f>
        <v/>
      </c>
      <c r="J50" s="19" t="n">
        <v>3</v>
      </c>
      <c r="K50" s="15" t="inlineStr">
        <is>
          <t>T-U007-02</t>
        </is>
      </c>
      <c r="L50" s="15" t="n"/>
      <c r="M50" s="19" t="inlineStr">
        <is>
          <t>Offen</t>
        </is>
      </c>
      <c r="N50" s="19" t="n"/>
      <c r="O50" s="19" t="n"/>
      <c r="P50" s="15" t="inlineStr">
        <is>
          <t>Nach menschlicher Freigabe</t>
        </is>
      </c>
      <c r="Q50" s="15" t="inlineStr">
        <is>
          <t>Kern</t>
        </is>
      </c>
      <c r="R50" s="15" t="inlineStr">
        <is>
          <t>features/health_data</t>
        </is>
      </c>
      <c r="S50" s="15" t="inlineStr">
        <is>
          <t>Erlaubt</t>
        </is>
      </c>
      <c r="T50" s="15" t="n"/>
    </row>
    <row r="51" ht="67.5" customHeight="1" s="11">
      <c r="A51" s="16" t="inlineStr">
        <is>
          <t>T-U007-04</t>
        </is>
      </c>
      <c r="B51" s="16" t="inlineStr">
        <is>
          <t>U007</t>
        </is>
      </c>
      <c r="C51" s="16" t="inlineStr">
        <is>
          <t>M2</t>
        </is>
      </c>
      <c r="D51" s="16" t="n">
        <v>48</v>
      </c>
      <c r="E51" s="16" t="inlineStr">
        <is>
          <t>Werte mit Herkunft anzeigen</t>
        </is>
      </c>
      <c r="F51" s="16" t="inlineStr">
        <is>
          <t>Code</t>
        </is>
      </c>
      <c r="G51" s="19" t="n">
        <v>2</v>
      </c>
      <c r="H51" s="19" t="n">
        <v>1</v>
      </c>
      <c r="I51" s="18">
        <f>(G51+H51)/2</f>
        <v/>
      </c>
      <c r="J51" s="19" t="n">
        <v>3</v>
      </c>
      <c r="K51" s="16" t="inlineStr">
        <is>
          <t>T-U007-03</t>
        </is>
      </c>
      <c r="L51" s="16" t="n"/>
      <c r="M51" s="19" t="inlineStr">
        <is>
          <t>Offen</t>
        </is>
      </c>
      <c r="N51" s="19" t="n"/>
      <c r="O51" s="19" t="n"/>
      <c r="P51" s="16" t="inlineStr">
        <is>
          <t>Nach menschlicher Freigabe</t>
        </is>
      </c>
      <c r="Q51" s="16" t="inlineStr">
        <is>
          <t>Kern</t>
        </is>
      </c>
      <c r="R51" s="16" t="inlineStr">
        <is>
          <t>apps/web</t>
        </is>
      </c>
      <c r="S51" s="16" t="inlineStr">
        <is>
          <t>Erlaubt</t>
        </is>
      </c>
      <c r="T51" s="16" t="n"/>
    </row>
    <row r="52" ht="67.5" customHeight="1" s="11">
      <c r="A52" s="15" t="inlineStr">
        <is>
          <t>T-U011-01</t>
        </is>
      </c>
      <c r="B52" s="15" t="inlineStr">
        <is>
          <t>U011</t>
        </is>
      </c>
      <c r="C52" s="15" t="inlineStr">
        <is>
          <t>M2</t>
        </is>
      </c>
      <c r="D52" s="15" t="n">
        <v>49</v>
      </c>
      <c r="E52" s="15" t="inlineStr">
        <is>
          <t>Datenzustände festlegen</t>
        </is>
      </c>
      <c r="F52" s="15" t="inlineStr">
        <is>
          <t>Research</t>
        </is>
      </c>
      <c r="G52" s="19" t="n">
        <v>1</v>
      </c>
      <c r="H52" s="19" t="n">
        <v>3</v>
      </c>
      <c r="I52" s="18">
        <f>(G52+H52)/2</f>
        <v/>
      </c>
      <c r="J52" s="19" t="n">
        <v>2</v>
      </c>
      <c r="K52" s="15" t="inlineStr">
        <is>
          <t>F007, T-U007-04, F011, F012</t>
        </is>
      </c>
      <c r="L52" s="15" t="inlineStr">
        <is>
          <t>D02</t>
        </is>
      </c>
      <c r="M52" s="19" t="inlineStr">
        <is>
          <t>Offen</t>
        </is>
      </c>
      <c r="N52" s="19" t="n"/>
      <c r="O52" s="19" t="n"/>
      <c r="P52" s="15" t="inlineStr">
        <is>
          <t>Unterstützend</t>
        </is>
      </c>
      <c r="Q52" s="15" t="inlineStr">
        <is>
          <t>Kern</t>
        </is>
      </c>
      <c r="R52" s="15" t="inlineStr">
        <is>
          <t>features/health_data</t>
        </is>
      </c>
      <c r="S52" s="15" t="inlineStr">
        <is>
          <t>Erlaubt</t>
        </is>
      </c>
      <c r="T52" s="15" t="n"/>
    </row>
    <row r="53" ht="67.5" customHeight="1" s="11">
      <c r="A53" s="16" t="inlineStr">
        <is>
          <t>T-U011-02</t>
        </is>
      </c>
      <c r="B53" s="16" t="inlineStr">
        <is>
          <t>U011</t>
        </is>
      </c>
      <c r="C53" s="16" t="inlineStr">
        <is>
          <t>M2</t>
        </is>
      </c>
      <c r="D53" s="16" t="n">
        <v>50</v>
      </c>
      <c r="E53" s="16" t="inlineStr">
        <is>
          <t>Datenzustand berechnen</t>
        </is>
      </c>
      <c r="F53" s="16" t="inlineStr">
        <is>
          <t>Code</t>
        </is>
      </c>
      <c r="G53" s="19" t="n">
        <v>2</v>
      </c>
      <c r="H53" s="19" t="n">
        <v>1</v>
      </c>
      <c r="I53" s="18">
        <f>(G53+H53)/2</f>
        <v/>
      </c>
      <c r="J53" s="19" t="n">
        <v>3</v>
      </c>
      <c r="K53" s="16" t="inlineStr">
        <is>
          <t>T-U011-01</t>
        </is>
      </c>
      <c r="L53" s="16" t="n"/>
      <c r="M53" s="19" t="inlineStr">
        <is>
          <t>Offen</t>
        </is>
      </c>
      <c r="N53" s="19" t="n"/>
      <c r="O53" s="19" t="n"/>
      <c r="P53" s="16" t="inlineStr">
        <is>
          <t>Nach menschlicher Freigabe</t>
        </is>
      </c>
      <c r="Q53" s="16" t="inlineStr">
        <is>
          <t>Kern</t>
        </is>
      </c>
      <c r="R53" s="16" t="inlineStr">
        <is>
          <t>features/health_data</t>
        </is>
      </c>
      <c r="S53" s="16" t="inlineStr">
        <is>
          <t>Erlaubt</t>
        </is>
      </c>
      <c r="T53" s="16" t="n"/>
    </row>
    <row r="54" ht="67.5" customHeight="1" s="11">
      <c r="A54" s="15" t="inlineStr">
        <is>
          <t>T-U011-03</t>
        </is>
      </c>
      <c r="B54" s="15" t="inlineStr">
        <is>
          <t>U011</t>
        </is>
      </c>
      <c r="C54" s="15" t="inlineStr">
        <is>
          <t>M2</t>
        </is>
      </c>
      <c r="D54" s="15" t="n">
        <v>51</v>
      </c>
      <c r="E54" s="15" t="inlineStr">
        <is>
          <t>Grenzen im Chat sichtbar machen</t>
        </is>
      </c>
      <c r="F54" s="15" t="inlineStr">
        <is>
          <t>Code</t>
        </is>
      </c>
      <c r="G54" s="19" t="n">
        <v>2</v>
      </c>
      <c r="H54" s="19" t="n">
        <v>1</v>
      </c>
      <c r="I54" s="18">
        <f>(G54+H54)/2</f>
        <v/>
      </c>
      <c r="J54" s="19" t="n">
        <v>3</v>
      </c>
      <c r="K54" s="15" t="inlineStr">
        <is>
          <t>T-U011-02</t>
        </is>
      </c>
      <c r="L54" s="15" t="n"/>
      <c r="M54" s="19" t="inlineStr">
        <is>
          <t>Offen</t>
        </is>
      </c>
      <c r="N54" s="19" t="n"/>
      <c r="O54" s="19" t="n"/>
      <c r="P54" s="15" t="inlineStr">
        <is>
          <t>Nach menschlicher Freigabe</t>
        </is>
      </c>
      <c r="Q54" s="15" t="inlineStr">
        <is>
          <t>Kern</t>
        </is>
      </c>
      <c r="R54" s="15" t="inlineStr">
        <is>
          <t>apps/web</t>
        </is>
      </c>
      <c r="S54" s="15" t="inlineStr">
        <is>
          <t>Erlaubt</t>
        </is>
      </c>
      <c r="T54" s="15" t="n"/>
    </row>
    <row r="55" ht="67.5" customHeight="1" s="11">
      <c r="A55" s="16" t="inlineStr">
        <is>
          <t>T-U024-01</t>
        </is>
      </c>
      <c r="B55" s="16" t="inlineStr">
        <is>
          <t>U024</t>
        </is>
      </c>
      <c r="C55" s="16" t="inlineStr">
        <is>
          <t>M2</t>
        </is>
      </c>
      <c r="D55" s="16" t="n">
        <v>52</v>
      </c>
      <c r="E55" s="16" t="inlineStr">
        <is>
          <t>Löschumfang und Aufbewahrung klären</t>
        </is>
      </c>
      <c r="F55" s="16" t="inlineStr">
        <is>
          <t>Research</t>
        </is>
      </c>
      <c r="G55" s="19" t="n">
        <v>1</v>
      </c>
      <c r="H55" s="19" t="n">
        <v>3</v>
      </c>
      <c r="I55" s="18">
        <f>(G55+H55)/2</f>
        <v/>
      </c>
      <c r="J55" s="19" t="n">
        <v>2</v>
      </c>
      <c r="K55" s="16" t="inlineStr">
        <is>
          <t>F007, T-U023-04, F011, F012, F013</t>
        </is>
      </c>
      <c r="L55" s="16" t="inlineStr">
        <is>
          <t>D05</t>
        </is>
      </c>
      <c r="M55" s="19" t="inlineStr">
        <is>
          <t>Offen</t>
        </is>
      </c>
      <c r="N55" s="19" t="n"/>
      <c r="O55" s="19" t="n"/>
      <c r="P55" s="16" t="inlineStr">
        <is>
          <t>Unterstützend</t>
        </is>
      </c>
      <c r="Q55" s="16" t="inlineStr">
        <is>
          <t>Voraussetzung für Speicherung</t>
        </is>
      </c>
      <c r="R55" s="16" t="inlineStr">
        <is>
          <t>features/consent</t>
        </is>
      </c>
      <c r="S55" s="16" t="inlineStr">
        <is>
          <t>Erlaubt</t>
        </is>
      </c>
      <c r="T55" s="16" t="n"/>
    </row>
    <row r="56" ht="67.5" customHeight="1" s="11">
      <c r="A56" s="15" t="inlineStr">
        <is>
          <t>T-U024-02</t>
        </is>
      </c>
      <c r="B56" s="15" t="inlineStr">
        <is>
          <t>U024</t>
        </is>
      </c>
      <c r="C56" s="15" t="inlineStr">
        <is>
          <t>M2</t>
        </is>
      </c>
      <c r="D56" s="15" t="n">
        <v>53</v>
      </c>
      <c r="E56" s="15" t="inlineStr">
        <is>
          <t>Bestätigungsablauf für Löschung bauen</t>
        </is>
      </c>
      <c r="F56" s="15" t="inlineStr">
        <is>
          <t>Code</t>
        </is>
      </c>
      <c r="G56" s="19" t="n">
        <v>2</v>
      </c>
      <c r="H56" s="19" t="n">
        <v>1</v>
      </c>
      <c r="I56" s="18">
        <f>(G56+H56)/2</f>
        <v/>
      </c>
      <c r="J56" s="19" t="n">
        <v>3</v>
      </c>
      <c r="K56" s="15" t="inlineStr">
        <is>
          <t>T-U024-01</t>
        </is>
      </c>
      <c r="L56" s="15" t="n"/>
      <c r="M56" s="19" t="inlineStr">
        <is>
          <t>Offen</t>
        </is>
      </c>
      <c r="N56" s="19" t="n"/>
      <c r="O56" s="19" t="n"/>
      <c r="P56" s="15" t="inlineStr">
        <is>
          <t>Nach menschlicher Freigabe</t>
        </is>
      </c>
      <c r="Q56" s="15" t="inlineStr">
        <is>
          <t>Voraussetzung für Speicherung</t>
        </is>
      </c>
      <c r="R56" s="15" t="inlineStr">
        <is>
          <t>apps/web</t>
        </is>
      </c>
      <c r="S56" s="15" t="inlineStr">
        <is>
          <t>Erlaubt</t>
        </is>
      </c>
      <c r="T56" s="15" t="n"/>
    </row>
    <row r="57" ht="67.5" customHeight="1" s="11">
      <c r="A57" s="16" t="inlineStr">
        <is>
          <t>T-U024-03</t>
        </is>
      </c>
      <c r="B57" s="16" t="inlineStr">
        <is>
          <t>U024</t>
        </is>
      </c>
      <c r="C57" s="16" t="inlineStr">
        <is>
          <t>M2</t>
        </is>
      </c>
      <c r="D57" s="16" t="n">
        <v>54</v>
      </c>
      <c r="E57" s="16" t="inlineStr">
        <is>
          <t>Löschauftrag serverseitig ausführen</t>
        </is>
      </c>
      <c r="F57" s="16" t="inlineStr">
        <is>
          <t>Code</t>
        </is>
      </c>
      <c r="G57" s="19" t="n">
        <v>2</v>
      </c>
      <c r="H57" s="19" t="n">
        <v>1</v>
      </c>
      <c r="I57" s="18">
        <f>(G57+H57)/2</f>
        <v/>
      </c>
      <c r="J57" s="19" t="n">
        <v>3</v>
      </c>
      <c r="K57" s="16" t="inlineStr">
        <is>
          <t>T-U024-02</t>
        </is>
      </c>
      <c r="L57" s="16" t="n"/>
      <c r="M57" s="19" t="inlineStr">
        <is>
          <t>Offen</t>
        </is>
      </c>
      <c r="N57" s="19" t="n"/>
      <c r="O57" s="19" t="n"/>
      <c r="P57" s="16" t="inlineStr">
        <is>
          <t>Nach menschlicher Freigabe</t>
        </is>
      </c>
      <c r="Q57" s="16" t="inlineStr">
        <is>
          <t>Voraussetzung für Speicherung</t>
        </is>
      </c>
      <c r="R57" s="16" t="inlineStr">
        <is>
          <t>features/consent</t>
        </is>
      </c>
      <c r="S57" s="16" t="inlineStr">
        <is>
          <t>Erlaubt</t>
        </is>
      </c>
      <c r="T57" s="16" t="n"/>
    </row>
    <row r="58" ht="67.5" customHeight="1" s="11">
      <c r="A58" s="15" t="inlineStr">
        <is>
          <t>T-U024-04</t>
        </is>
      </c>
      <c r="B58" s="15" t="inlineStr">
        <is>
          <t>U024</t>
        </is>
      </c>
      <c r="C58" s="15" t="inlineStr">
        <is>
          <t>M2</t>
        </is>
      </c>
      <c r="D58" s="15" t="n">
        <v>55</v>
      </c>
      <c r="E58" s="15" t="inlineStr">
        <is>
          <t>Löschung nachweisen und UI aktualisieren</t>
        </is>
      </c>
      <c r="F58" s="15" t="inlineStr">
        <is>
          <t>Code</t>
        </is>
      </c>
      <c r="G58" s="19" t="n">
        <v>2</v>
      </c>
      <c r="H58" s="19" t="n">
        <v>1</v>
      </c>
      <c r="I58" s="18">
        <f>(G58+H58)/2</f>
        <v/>
      </c>
      <c r="J58" s="19" t="n">
        <v>3</v>
      </c>
      <c r="K58" s="15" t="inlineStr">
        <is>
          <t>T-U024-03</t>
        </is>
      </c>
      <c r="L58" s="15" t="n"/>
      <c r="M58" s="19" t="inlineStr">
        <is>
          <t>Offen</t>
        </is>
      </c>
      <c r="N58" s="19" t="n"/>
      <c r="O58" s="19" t="n"/>
      <c r="P58" s="15" t="inlineStr">
        <is>
          <t>Nach menschlicher Freigabe</t>
        </is>
      </c>
      <c r="Q58" s="15" t="inlineStr">
        <is>
          <t>Voraussetzung für Speicherung</t>
        </is>
      </c>
      <c r="R58" s="15" t="inlineStr">
        <is>
          <t>apps/web</t>
        </is>
      </c>
      <c r="S58" s="15" t="inlineStr">
        <is>
          <t>Erlaubt</t>
        </is>
      </c>
      <c r="T58" s="15" t="n"/>
    </row>
    <row r="59" ht="67.5" customHeight="1" s="11">
      <c r="A59" s="16" t="inlineStr">
        <is>
          <t>T-U019-01</t>
        </is>
      </c>
      <c r="B59" s="16" t="inlineStr">
        <is>
          <t>U019</t>
        </is>
      </c>
      <c r="C59" s="16" t="inlineStr">
        <is>
          <t>M2</t>
        </is>
      </c>
      <c r="D59" s="16" t="n">
        <v>56</v>
      </c>
      <c r="E59" s="16" t="inlineStr">
        <is>
          <t>Profilfelder und Herkunft definieren</t>
        </is>
      </c>
      <c r="F59" s="16" t="inlineStr">
        <is>
          <t>Research</t>
        </is>
      </c>
      <c r="G59" s="19" t="n">
        <v>1</v>
      </c>
      <c r="H59" s="19" t="n">
        <v>3</v>
      </c>
      <c r="I59" s="18">
        <f>(G59+H59)/2</f>
        <v/>
      </c>
      <c r="J59" s="19" t="n">
        <v>2</v>
      </c>
      <c r="K59" s="16" t="inlineStr">
        <is>
          <t>F007, T-U024-04, F011, F012, F013</t>
        </is>
      </c>
      <c r="L59" s="16" t="inlineStr">
        <is>
          <t>D06</t>
        </is>
      </c>
      <c r="M59" s="19" t="inlineStr">
        <is>
          <t>Offen</t>
        </is>
      </c>
      <c r="N59" s="19" t="n"/>
      <c r="O59" s="19" t="n"/>
      <c r="P59" s="16" t="inlineStr">
        <is>
          <t>Unterstützend</t>
        </is>
      </c>
      <c r="Q59" s="16" t="inlineStr">
        <is>
          <t>Optional</t>
        </is>
      </c>
      <c r="R59" s="16" t="inlineStr">
        <is>
          <t>features/health_data</t>
        </is>
      </c>
      <c r="S59" s="16" t="inlineStr">
        <is>
          <t>Umgebaut</t>
        </is>
      </c>
      <c r="T59" s="16" t="inlineStr">
        <is>
          <t>Verwendungszweck begrenzt.</t>
        </is>
      </c>
    </row>
    <row r="60" ht="67.5" customHeight="1" s="11">
      <c r="A60" s="15" t="inlineStr">
        <is>
          <t>T-U019-02</t>
        </is>
      </c>
      <c r="B60" s="15" t="inlineStr">
        <is>
          <t>U019</t>
        </is>
      </c>
      <c r="C60" s="15" t="inlineStr">
        <is>
          <t>M2</t>
        </is>
      </c>
      <c r="D60" s="15" t="n">
        <v>57</v>
      </c>
      <c r="E60" s="15" t="inlineStr">
        <is>
          <t>Eigenes Profil speichern</t>
        </is>
      </c>
      <c r="F60" s="15" t="inlineStr">
        <is>
          <t>Code</t>
        </is>
      </c>
      <c r="G60" s="19" t="n">
        <v>2</v>
      </c>
      <c r="H60" s="19" t="n">
        <v>1</v>
      </c>
      <c r="I60" s="18">
        <f>(G60+H60)/2</f>
        <v/>
      </c>
      <c r="J60" s="19" t="n">
        <v>3</v>
      </c>
      <c r="K60" s="15" t="inlineStr">
        <is>
          <t>T-U019-01</t>
        </is>
      </c>
      <c r="L60" s="15" t="n"/>
      <c r="M60" s="19" t="inlineStr">
        <is>
          <t>Offen</t>
        </is>
      </c>
      <c r="N60" s="19" t="n"/>
      <c r="O60" s="19" t="n"/>
      <c r="P60" s="15" t="inlineStr">
        <is>
          <t>Nach menschlicher Freigabe</t>
        </is>
      </c>
      <c r="Q60" s="15" t="inlineStr">
        <is>
          <t>Optional</t>
        </is>
      </c>
      <c r="R60" s="15" t="inlineStr">
        <is>
          <t>features/health_data</t>
        </is>
      </c>
      <c r="S60" s="15" t="inlineStr">
        <is>
          <t>Erlaubt</t>
        </is>
      </c>
      <c r="T60" s="15" t="n"/>
    </row>
    <row r="61" ht="67.5" customHeight="1" s="11">
      <c r="A61" s="16" t="inlineStr">
        <is>
          <t>T-U019-03</t>
        </is>
      </c>
      <c r="B61" s="16" t="inlineStr">
        <is>
          <t>U019</t>
        </is>
      </c>
      <c r="C61" s="16" t="inlineStr">
        <is>
          <t>M2</t>
        </is>
      </c>
      <c r="D61" s="16" t="n">
        <v>58</v>
      </c>
      <c r="E61" s="16" t="inlineStr">
        <is>
          <t>Profilformular verbinden</t>
        </is>
      </c>
      <c r="F61" s="16" t="inlineStr">
        <is>
          <t>Code</t>
        </is>
      </c>
      <c r="G61" s="19" t="n">
        <v>2</v>
      </c>
      <c r="H61" s="19" t="n">
        <v>1</v>
      </c>
      <c r="I61" s="18">
        <f>(G61+H61)/2</f>
        <v/>
      </c>
      <c r="J61" s="19" t="n">
        <v>3</v>
      </c>
      <c r="K61" s="16" t="inlineStr">
        <is>
          <t>T-U019-02</t>
        </is>
      </c>
      <c r="L61" s="16" t="n"/>
      <c r="M61" s="19" t="inlineStr">
        <is>
          <t>Offen</t>
        </is>
      </c>
      <c r="N61" s="19" t="n"/>
      <c r="O61" s="19" t="n"/>
      <c r="P61" s="16" t="inlineStr">
        <is>
          <t>Nach menschlicher Freigabe</t>
        </is>
      </c>
      <c r="Q61" s="16" t="inlineStr">
        <is>
          <t>Optional</t>
        </is>
      </c>
      <c r="R61" s="16" t="inlineStr">
        <is>
          <t>apps/web</t>
        </is>
      </c>
      <c r="S61" s="16" t="inlineStr">
        <is>
          <t>Erlaubt</t>
        </is>
      </c>
      <c r="T61" s="16" t="n"/>
    </row>
    <row r="62" ht="67.5" customHeight="1" s="11">
      <c r="A62" s="15" t="inlineStr">
        <is>
          <t>T-U019-04</t>
        </is>
      </c>
      <c r="B62" s="15" t="inlineStr">
        <is>
          <t>U019</t>
        </is>
      </c>
      <c r="C62" s="15" t="inlineStr">
        <is>
          <t>M2</t>
        </is>
      </c>
      <c r="D62" s="15" t="n">
        <v>59</v>
      </c>
      <c r="E62" s="15" t="inlineStr">
        <is>
          <t>Profil in Freigabe und Löschung einbinden</t>
        </is>
      </c>
      <c r="F62" s="15" t="inlineStr">
        <is>
          <t>Code</t>
        </is>
      </c>
      <c r="G62" s="19" t="n">
        <v>2</v>
      </c>
      <c r="H62" s="19" t="n">
        <v>1</v>
      </c>
      <c r="I62" s="18">
        <f>(G62+H62)/2</f>
        <v/>
      </c>
      <c r="J62" s="19" t="n">
        <v>3</v>
      </c>
      <c r="K62" s="15" t="inlineStr">
        <is>
          <t>T-U019-03</t>
        </is>
      </c>
      <c r="L62" s="15" t="n"/>
      <c r="M62" s="19" t="inlineStr">
        <is>
          <t>Offen</t>
        </is>
      </c>
      <c r="N62" s="19" t="n"/>
      <c r="O62" s="19" t="n"/>
      <c r="P62" s="15" t="inlineStr">
        <is>
          <t>Nach menschlicher Freigabe</t>
        </is>
      </c>
      <c r="Q62" s="15" t="inlineStr">
        <is>
          <t>Optional</t>
        </is>
      </c>
      <c r="R62" s="15" t="inlineStr">
        <is>
          <t>features/health_data</t>
        </is>
      </c>
      <c r="S62" s="15" t="inlineStr">
        <is>
          <t>Umgebaut</t>
        </is>
      </c>
      <c r="T62" s="15" t="inlineStr">
        <is>
          <t>Profil nicht mehr im Modellkontext.</t>
        </is>
      </c>
    </row>
    <row r="63" ht="67.5" customHeight="1" s="11">
      <c r="A63" s="16" t="inlineStr">
        <is>
          <t>T-U022-01</t>
        </is>
      </c>
      <c r="B63" s="16" t="inlineStr">
        <is>
          <t>U022</t>
        </is>
      </c>
      <c r="C63" s="16" t="inlineStr">
        <is>
          <t>M2</t>
        </is>
      </c>
      <c r="D63" s="16" t="n">
        <v>60</v>
      </c>
      <c r="E63" s="16" t="inlineStr">
        <is>
          <t>Importumfang und Limits festlegen</t>
        </is>
      </c>
      <c r="F63" s="16" t="inlineStr">
        <is>
          <t>Research</t>
        </is>
      </c>
      <c r="G63" s="19" t="n">
        <v>1</v>
      </c>
      <c r="H63" s="19" t="n">
        <v>3</v>
      </c>
      <c r="I63" s="18">
        <f>(G63+H63)/2</f>
        <v/>
      </c>
      <c r="J63" s="19" t="n">
        <v>2</v>
      </c>
      <c r="K63" s="16" t="inlineStr">
        <is>
          <t>F007, T-U024-04, T-U007-04, F011, F012, F013</t>
        </is>
      </c>
      <c r="L63" s="16" t="inlineStr">
        <is>
          <t>D02</t>
        </is>
      </c>
      <c r="M63" s="19" t="inlineStr">
        <is>
          <t>Offen</t>
        </is>
      </c>
      <c r="N63" s="19" t="n"/>
      <c r="O63" s="19" t="n"/>
      <c r="P63" s="16" t="inlineStr">
        <is>
          <t>Unterstützend</t>
        </is>
      </c>
      <c r="Q63" s="16" t="inlineStr">
        <is>
          <t>Optional</t>
        </is>
      </c>
      <c r="R63" s="16" t="inlineStr">
        <is>
          <t>features/health_data, adapters/fhir</t>
        </is>
      </c>
      <c r="S63" s="16" t="inlineStr">
        <is>
          <t>Erlaubt</t>
        </is>
      </c>
      <c r="T63" s="16" t="n"/>
    </row>
    <row r="64" ht="67.5" customHeight="1" s="11">
      <c r="A64" s="15" t="inlineStr">
        <is>
          <t>T-U022-02</t>
        </is>
      </c>
      <c r="B64" s="15" t="inlineStr">
        <is>
          <t>U022</t>
        </is>
      </c>
      <c r="C64" s="15" t="inlineStr">
        <is>
          <t>M2</t>
        </is>
      </c>
      <c r="D64" s="15" t="n">
        <v>61</v>
      </c>
      <c r="E64" s="15" t="inlineStr">
        <is>
          <t>Dateiupload validieren</t>
        </is>
      </c>
      <c r="F64" s="15" t="inlineStr">
        <is>
          <t>Code</t>
        </is>
      </c>
      <c r="G64" s="19" t="n">
        <v>2</v>
      </c>
      <c r="H64" s="19" t="n">
        <v>1</v>
      </c>
      <c r="I64" s="18">
        <f>(G64+H64)/2</f>
        <v/>
      </c>
      <c r="J64" s="19" t="n">
        <v>3</v>
      </c>
      <c r="K64" s="15" t="inlineStr">
        <is>
          <t>T-U022-01</t>
        </is>
      </c>
      <c r="L64" s="15" t="n"/>
      <c r="M64" s="19" t="inlineStr">
        <is>
          <t>Offen</t>
        </is>
      </c>
      <c r="N64" s="19" t="n"/>
      <c r="O64" s="19" t="n"/>
      <c r="P64" s="15" t="inlineStr">
        <is>
          <t>Nach menschlicher Freigabe</t>
        </is>
      </c>
      <c r="Q64" s="15" t="inlineStr">
        <is>
          <t>Optional</t>
        </is>
      </c>
      <c r="R64" s="15" t="inlineStr">
        <is>
          <t>features/health_data, adapters/fhir</t>
        </is>
      </c>
      <c r="S64" s="15" t="inlineStr">
        <is>
          <t>Erlaubt</t>
        </is>
      </c>
      <c r="T64" s="15" t="n"/>
    </row>
    <row r="65" ht="67.5" customHeight="1" s="11">
      <c r="A65" s="16" t="inlineStr">
        <is>
          <t>T-U022-03</t>
        </is>
      </c>
      <c r="B65" s="16" t="inlineStr">
        <is>
          <t>U022</t>
        </is>
      </c>
      <c r="C65" s="16" t="inlineStr">
        <is>
          <t>M2</t>
        </is>
      </c>
      <c r="D65" s="16" t="n">
        <v>62</v>
      </c>
      <c r="E65" s="16" t="inlineStr">
        <is>
          <t>Patientenbezug und Dubletten prüfen</t>
        </is>
      </c>
      <c r="F65" s="16" t="inlineStr">
        <is>
          <t>Test</t>
        </is>
      </c>
      <c r="G65" s="19" t="n">
        <v>2</v>
      </c>
      <c r="H65" s="19" t="n">
        <v>1</v>
      </c>
      <c r="I65" s="18">
        <f>(G65+H65)/2</f>
        <v/>
      </c>
      <c r="J65" s="19" t="n">
        <v>3</v>
      </c>
      <c r="K65" s="16" t="inlineStr">
        <is>
          <t>T-U022-02</t>
        </is>
      </c>
      <c r="L65" s="16" t="n"/>
      <c r="M65" s="19" t="inlineStr">
        <is>
          <t>Offen</t>
        </is>
      </c>
      <c r="N65" s="19" t="n"/>
      <c r="O65" s="19" t="n"/>
      <c r="P65" s="16" t="inlineStr">
        <is>
          <t>Unterstützend</t>
        </is>
      </c>
      <c r="Q65" s="16" t="inlineStr">
        <is>
          <t>Optional</t>
        </is>
      </c>
      <c r="R65" s="16" t="inlineStr">
        <is>
          <t>features/health_data, adapters/fhir</t>
        </is>
      </c>
      <c r="S65" s="16" t="inlineStr">
        <is>
          <t>Erlaubt</t>
        </is>
      </c>
      <c r="T65" s="16" t="n"/>
    </row>
    <row r="66" ht="67.5" customHeight="1" s="11">
      <c r="A66" s="15" t="inlineStr">
        <is>
          <t>T-U022-04</t>
        </is>
      </c>
      <c r="B66" s="15" t="inlineStr">
        <is>
          <t>U022</t>
        </is>
      </c>
      <c r="C66" s="15" t="inlineStr">
        <is>
          <t>M2</t>
        </is>
      </c>
      <c r="D66" s="15" t="n">
        <v>63</v>
      </c>
      <c r="E66" s="15" t="inlineStr">
        <is>
          <t>Importvorschau erstellen</t>
        </is>
      </c>
      <c r="F66" s="15" t="inlineStr">
        <is>
          <t>Code</t>
        </is>
      </c>
      <c r="G66" s="19" t="n">
        <v>2</v>
      </c>
      <c r="H66" s="19" t="n">
        <v>1</v>
      </c>
      <c r="I66" s="18">
        <f>(G66+H66)/2</f>
        <v/>
      </c>
      <c r="J66" s="19" t="n">
        <v>3</v>
      </c>
      <c r="K66" s="15" t="inlineStr">
        <is>
          <t>T-U022-03</t>
        </is>
      </c>
      <c r="L66" s="15" t="n"/>
      <c r="M66" s="19" t="inlineStr">
        <is>
          <t>Offen</t>
        </is>
      </c>
      <c r="N66" s="19" t="n"/>
      <c r="O66" s="19" t="n"/>
      <c r="P66" s="15" t="inlineStr">
        <is>
          <t>Nach menschlicher Freigabe</t>
        </is>
      </c>
      <c r="Q66" s="15" t="inlineStr">
        <is>
          <t>Optional</t>
        </is>
      </c>
      <c r="R66" s="15" t="inlineStr">
        <is>
          <t>apps/web</t>
        </is>
      </c>
      <c r="S66" s="15" t="inlineStr">
        <is>
          <t>Erlaubt</t>
        </is>
      </c>
      <c r="T66" s="15" t="n"/>
    </row>
    <row r="67" ht="67.5" customHeight="1" s="11">
      <c r="A67" s="16" t="inlineStr">
        <is>
          <t>T-U022-05</t>
        </is>
      </c>
      <c r="B67" s="16" t="inlineStr">
        <is>
          <t>U022</t>
        </is>
      </c>
      <c r="C67" s="16" t="inlineStr">
        <is>
          <t>M2</t>
        </is>
      </c>
      <c r="D67" s="16" t="n">
        <v>64</v>
      </c>
      <c r="E67" s="16" t="inlineStr">
        <is>
          <t>Bestätigten Import speichern</t>
        </is>
      </c>
      <c r="F67" s="16" t="inlineStr">
        <is>
          <t>Code</t>
        </is>
      </c>
      <c r="G67" s="19" t="n">
        <v>2</v>
      </c>
      <c r="H67" s="19" t="n">
        <v>1</v>
      </c>
      <c r="I67" s="18">
        <f>(G67+H67)/2</f>
        <v/>
      </c>
      <c r="J67" s="19" t="n">
        <v>3</v>
      </c>
      <c r="K67" s="16" t="inlineStr">
        <is>
          <t>T-U022-04</t>
        </is>
      </c>
      <c r="L67" s="16" t="n"/>
      <c r="M67" s="19" t="inlineStr">
        <is>
          <t>Offen</t>
        </is>
      </c>
      <c r="N67" s="19" t="n"/>
      <c r="O67" s="19" t="n"/>
      <c r="P67" s="16" t="inlineStr">
        <is>
          <t>Nach menschlicher Freigabe</t>
        </is>
      </c>
      <c r="Q67" s="16" t="inlineStr">
        <is>
          <t>Optional</t>
        </is>
      </c>
      <c r="R67" s="16" t="inlineStr">
        <is>
          <t>features/health_data, adapters/fhir</t>
        </is>
      </c>
      <c r="S67" s="16" t="inlineStr">
        <is>
          <t>Erlaubt</t>
        </is>
      </c>
      <c r="T67" s="16" t="n"/>
    </row>
    <row r="68" ht="67.5" customHeight="1" s="11">
      <c r="A68" s="15" t="inlineStr">
        <is>
          <t>F014</t>
        </is>
      </c>
      <c r="B68" s="15" t="inlineStr">
        <is>
          <t>BASIS</t>
        </is>
      </c>
      <c r="C68" s="15" t="inlineStr">
        <is>
          <t>M3</t>
        </is>
      </c>
      <c r="D68" s="15" t="n">
        <v>65</v>
      </c>
      <c r="E68" s="15" t="inlineStr">
        <is>
          <t>Fachliche Inhalts-Freigabe dokumentieren</t>
        </is>
      </c>
      <c r="F68" s="15" t="inlineStr">
        <is>
          <t>Research</t>
        </is>
      </c>
      <c r="G68" s="19" t="n">
        <v>1</v>
      </c>
      <c r="H68" s="19" t="n">
        <v>3</v>
      </c>
      <c r="I68" s="18">
        <f>(G68+H68)/2</f>
        <v/>
      </c>
      <c r="J68" s="19" t="n">
        <v>2</v>
      </c>
      <c r="K68" s="15" t="inlineStr">
        <is>
          <t>F009</t>
        </is>
      </c>
      <c r="L68" s="15" t="inlineStr">
        <is>
          <t>D04</t>
        </is>
      </c>
      <c r="M68" s="19" t="inlineStr">
        <is>
          <t>Offen</t>
        </is>
      </c>
      <c r="N68" s="19" t="n"/>
      <c r="O68" s="19" t="n"/>
      <c r="P68" s="15" t="inlineStr">
        <is>
          <t>Unterstützend</t>
        </is>
      </c>
      <c r="Q68" s="15" t="inlineStr">
        <is>
          <t>Kern</t>
        </is>
      </c>
      <c r="R68" s="15" t="inlineStr">
        <is>
          <t>knowledge</t>
        </is>
      </c>
      <c r="S68" s="15" t="inlineStr">
        <is>
          <t>Umgebaut</t>
        </is>
      </c>
      <c r="T68" s="15" t="inlineStr">
        <is>
          <t>Auf allgemeine Inhalte begrenzt.</t>
        </is>
      </c>
    </row>
    <row r="69" ht="67.5" customHeight="1" s="11">
      <c r="A69" s="16" t="inlineStr">
        <is>
          <t>T-U015-01</t>
        </is>
      </c>
      <c r="B69" s="16" t="inlineStr">
        <is>
          <t>U015</t>
        </is>
      </c>
      <c r="C69" s="16" t="inlineStr">
        <is>
          <t>M3</t>
        </is>
      </c>
      <c r="D69" s="16" t="n">
        <v>66</v>
      </c>
      <c r="E69" s="16" t="inlineStr">
        <is>
          <t>Feedback-Vertrag festlegen</t>
        </is>
      </c>
      <c r="F69" s="16" t="inlineStr">
        <is>
          <t>Research</t>
        </is>
      </c>
      <c r="G69" s="19" t="n">
        <v>1</v>
      </c>
      <c r="H69" s="19" t="n">
        <v>3</v>
      </c>
      <c r="I69" s="18">
        <f>(G69+H69)/2</f>
        <v/>
      </c>
      <c r="J69" s="19" t="n">
        <v>2</v>
      </c>
      <c r="K69" s="16" t="inlineStr">
        <is>
          <t>F007, T-U024-04</t>
        </is>
      </c>
      <c r="L69" s="16" t="n"/>
      <c r="M69" s="19" t="inlineStr">
        <is>
          <t>Offen</t>
        </is>
      </c>
      <c r="N69" s="19" t="n"/>
      <c r="O69" s="19" t="n"/>
      <c r="P69" s="16" t="inlineStr">
        <is>
          <t>Unterstützend</t>
        </is>
      </c>
      <c r="Q69" s="16" t="inlineStr">
        <is>
          <t>Ergänzung</t>
        </is>
      </c>
      <c r="R69" s="16" t="inlineStr">
        <is>
          <t>features/chat</t>
        </is>
      </c>
      <c r="S69" s="16" t="inlineStr">
        <is>
          <t>Erlaubt</t>
        </is>
      </c>
      <c r="T69" s="16" t="n"/>
    </row>
    <row r="70" ht="67.5" customHeight="1" s="11">
      <c r="A70" s="15" t="inlineStr">
        <is>
          <t>T-U015-02</t>
        </is>
      </c>
      <c r="B70" s="15" t="inlineStr">
        <is>
          <t>U015</t>
        </is>
      </c>
      <c r="C70" s="15" t="inlineStr">
        <is>
          <t>M3</t>
        </is>
      </c>
      <c r="D70" s="15" t="n">
        <v>67</v>
      </c>
      <c r="E70" s="15" t="inlineStr">
        <is>
          <t>Feedback-Endpunkt implementieren</t>
        </is>
      </c>
      <c r="F70" s="15" t="inlineStr">
        <is>
          <t>Code</t>
        </is>
      </c>
      <c r="G70" s="19" t="n">
        <v>2</v>
      </c>
      <c r="H70" s="19" t="n">
        <v>1</v>
      </c>
      <c r="I70" s="18">
        <f>(G70+H70)/2</f>
        <v/>
      </c>
      <c r="J70" s="19" t="n">
        <v>3</v>
      </c>
      <c r="K70" s="15" t="inlineStr">
        <is>
          <t>T-U015-01</t>
        </is>
      </c>
      <c r="L70" s="15" t="n"/>
      <c r="M70" s="19" t="inlineStr">
        <is>
          <t>Offen</t>
        </is>
      </c>
      <c r="N70" s="19" t="n"/>
      <c r="O70" s="19" t="n"/>
      <c r="P70" s="15" t="inlineStr">
        <is>
          <t>Nach menschlicher Freigabe</t>
        </is>
      </c>
      <c r="Q70" s="15" t="inlineStr">
        <is>
          <t>Ergänzung</t>
        </is>
      </c>
      <c r="R70" s="15" t="inlineStr">
        <is>
          <t>features/chat</t>
        </is>
      </c>
      <c r="S70" s="15" t="inlineStr">
        <is>
          <t>Erlaubt</t>
        </is>
      </c>
      <c r="T70" s="15" t="n"/>
    </row>
    <row r="71" ht="67.5" customHeight="1" s="11">
      <c r="A71" s="16" t="inlineStr">
        <is>
          <t>T-U015-03</t>
        </is>
      </c>
      <c r="B71" s="16" t="inlineStr">
        <is>
          <t>U015</t>
        </is>
      </c>
      <c r="C71" s="16" t="inlineStr">
        <is>
          <t>M3</t>
        </is>
      </c>
      <c r="D71" s="16" t="n">
        <v>68</v>
      </c>
      <c r="E71" s="16" t="inlineStr">
        <is>
          <t>Bewertung im Chat anbieten</t>
        </is>
      </c>
      <c r="F71" s="16" t="inlineStr">
        <is>
          <t>Code</t>
        </is>
      </c>
      <c r="G71" s="19" t="n">
        <v>2</v>
      </c>
      <c r="H71" s="19" t="n">
        <v>1</v>
      </c>
      <c r="I71" s="18">
        <f>(G71+H71)/2</f>
        <v/>
      </c>
      <c r="J71" s="19" t="n">
        <v>3</v>
      </c>
      <c r="K71" s="16" t="inlineStr">
        <is>
          <t>T-U015-02</t>
        </is>
      </c>
      <c r="L71" s="16" t="n"/>
      <c r="M71" s="19" t="inlineStr">
        <is>
          <t>Offen</t>
        </is>
      </c>
      <c r="N71" s="19" t="n"/>
      <c r="O71" s="19" t="n"/>
      <c r="P71" s="16" t="inlineStr">
        <is>
          <t>Nach menschlicher Freigabe</t>
        </is>
      </c>
      <c r="Q71" s="16" t="inlineStr">
        <is>
          <t>Ergänzung</t>
        </is>
      </c>
      <c r="R71" s="16" t="inlineStr">
        <is>
          <t>apps/web</t>
        </is>
      </c>
      <c r="S71" s="16" t="inlineStr">
        <is>
          <t>Erlaubt</t>
        </is>
      </c>
      <c r="T71" s="16" t="n"/>
    </row>
    <row r="72" ht="67.5" customHeight="1" s="11">
      <c r="A72" s="15" t="inlineStr">
        <is>
          <t>T-U025-01</t>
        </is>
      </c>
      <c r="B72" s="15" t="inlineStr">
        <is>
          <t>U025</t>
        </is>
      </c>
      <c r="C72" s="15" t="inlineStr">
        <is>
          <t>M3</t>
        </is>
      </c>
      <c r="D72" s="15" t="n">
        <v>69</v>
      </c>
      <c r="E72" s="15" t="inlineStr">
        <is>
          <t>Sitzungskontext begrenzen</t>
        </is>
      </c>
      <c r="F72" s="15" t="inlineStr">
        <is>
          <t>Research</t>
        </is>
      </c>
      <c r="G72" s="19" t="n">
        <v>1</v>
      </c>
      <c r="H72" s="19" t="n">
        <v>3</v>
      </c>
      <c r="I72" s="18">
        <f>(G72+H72)/2</f>
        <v/>
      </c>
      <c r="J72" s="19" t="n">
        <v>2</v>
      </c>
      <c r="K72" s="15" t="inlineStr">
        <is>
          <t>F007, T-U010-03, F008, F010</t>
        </is>
      </c>
      <c r="L72" s="15" t="inlineStr">
        <is>
          <t>D06</t>
        </is>
      </c>
      <c r="M72" s="19" t="inlineStr">
        <is>
          <t>Offen</t>
        </is>
      </c>
      <c r="N72" s="19" t="n"/>
      <c r="O72" s="19" t="n"/>
      <c r="P72" s="15" t="inlineStr">
        <is>
          <t>Unterstützend</t>
        </is>
      </c>
      <c r="Q72" s="15" t="inlineStr">
        <is>
          <t>Kern</t>
        </is>
      </c>
      <c r="R72" s="15" t="inlineStr">
        <is>
          <t>features/chat</t>
        </is>
      </c>
      <c r="S72" s="15" t="inlineStr">
        <is>
          <t>Erlaubt</t>
        </is>
      </c>
      <c r="T72" s="15" t="n"/>
    </row>
    <row r="73" ht="67.5" customHeight="1" s="11">
      <c r="A73" s="16" t="inlineStr">
        <is>
          <t>T-U025-02</t>
        </is>
      </c>
      <c r="B73" s="16" t="inlineStr">
        <is>
          <t>U025</t>
        </is>
      </c>
      <c r="C73" s="16" t="inlineStr">
        <is>
          <t>M3</t>
        </is>
      </c>
      <c r="D73" s="16" t="n">
        <v>70</v>
      </c>
      <c r="E73" s="16" t="inlineStr">
        <is>
          <t>Kontextspeicher implementieren</t>
        </is>
      </c>
      <c r="F73" s="16" t="inlineStr">
        <is>
          <t>Code</t>
        </is>
      </c>
      <c r="G73" s="19" t="n">
        <v>2</v>
      </c>
      <c r="H73" s="19" t="n">
        <v>1</v>
      </c>
      <c r="I73" s="18">
        <f>(G73+H73)/2</f>
        <v/>
      </c>
      <c r="J73" s="19" t="n">
        <v>3</v>
      </c>
      <c r="K73" s="16" t="inlineStr">
        <is>
          <t>T-U025-01</t>
        </is>
      </c>
      <c r="L73" s="16" t="n"/>
      <c r="M73" s="19" t="inlineStr">
        <is>
          <t>Offen</t>
        </is>
      </c>
      <c r="N73" s="19" t="n"/>
      <c r="O73" s="19" t="n"/>
      <c r="P73" s="16" t="inlineStr">
        <is>
          <t>Nach menschlicher Freigabe</t>
        </is>
      </c>
      <c r="Q73" s="16" t="inlineStr">
        <is>
          <t>Kern</t>
        </is>
      </c>
      <c r="R73" s="16" t="inlineStr">
        <is>
          <t>features/chat</t>
        </is>
      </c>
      <c r="S73" s="16" t="inlineStr">
        <is>
          <t>Erlaubt</t>
        </is>
      </c>
      <c r="T73" s="16" t="n"/>
    </row>
    <row r="74" ht="67.5" customHeight="1" s="11">
      <c r="A74" s="15" t="inlineStr">
        <is>
          <t>T-U025-03</t>
        </is>
      </c>
      <c r="B74" s="15" t="inlineStr">
        <is>
          <t>U025</t>
        </is>
      </c>
      <c r="C74" s="15" t="inlineStr">
        <is>
          <t>M3</t>
        </is>
      </c>
      <c r="D74" s="15" t="n">
        <v>71</v>
      </c>
      <c r="E74" s="15" t="inlineStr">
        <is>
          <t>Folgefrage mit Kontext beantworten</t>
        </is>
      </c>
      <c r="F74" s="15" t="inlineStr">
        <is>
          <t>Code</t>
        </is>
      </c>
      <c r="G74" s="19" t="n">
        <v>2</v>
      </c>
      <c r="H74" s="19" t="n">
        <v>1</v>
      </c>
      <c r="I74" s="18">
        <f>(G74+H74)/2</f>
        <v/>
      </c>
      <c r="J74" s="19" t="n">
        <v>3</v>
      </c>
      <c r="K74" s="15" t="inlineStr">
        <is>
          <t>T-U025-02</t>
        </is>
      </c>
      <c r="L74" s="15" t="n"/>
      <c r="M74" s="19" t="inlineStr">
        <is>
          <t>Offen</t>
        </is>
      </c>
      <c r="N74" s="19" t="n"/>
      <c r="O74" s="19" t="n"/>
      <c r="P74" s="15" t="inlineStr">
        <is>
          <t>Nach menschlicher Freigabe</t>
        </is>
      </c>
      <c r="Q74" s="15" t="inlineStr">
        <is>
          <t>Kern</t>
        </is>
      </c>
      <c r="R74" s="15" t="inlineStr">
        <is>
          <t>features/chat</t>
        </is>
      </c>
      <c r="S74" s="15" t="inlineStr">
        <is>
          <t>Erlaubt</t>
        </is>
      </c>
      <c r="T74" s="15" t="n"/>
    </row>
    <row r="75" ht="67.5" customHeight="1" s="11">
      <c r="A75" s="16" t="inlineStr">
        <is>
          <t>T-U001-01</t>
        </is>
      </c>
      <c r="B75" s="16" t="inlineStr">
        <is>
          <t>U001</t>
        </is>
      </c>
      <c r="C75" s="16" t="inlineStr">
        <is>
          <t>M3</t>
        </is>
      </c>
      <c r="D75" s="16" t="n">
        <v>72</v>
      </c>
      <c r="E75" s="16" t="inlineStr">
        <is>
          <t>Warnzeichen-Stichworte und Zuständigkeiten festlegen</t>
        </is>
      </c>
      <c r="F75" s="16" t="inlineStr">
        <is>
          <t>Research</t>
        </is>
      </c>
      <c r="G75" s="19" t="n">
        <v>1</v>
      </c>
      <c r="H75" s="19" t="n">
        <v>3</v>
      </c>
      <c r="I75" s="18">
        <f>(G75+H75)/2</f>
        <v/>
      </c>
      <c r="J75" s="19" t="n">
        <v>2</v>
      </c>
      <c r="K75" s="16" t="inlineStr">
        <is>
          <t>F007, T-U025-03, F014</t>
        </is>
      </c>
      <c r="L75" s="16" t="inlineStr">
        <is>
          <t>D04, D08</t>
        </is>
      </c>
      <c r="M75" s="19" t="inlineStr">
        <is>
          <t>Offen</t>
        </is>
      </c>
      <c r="N75" s="19" t="n"/>
      <c r="O75" s="19" t="n"/>
      <c r="P75" s="16" t="inlineStr">
        <is>
          <t>Unterstützend</t>
        </is>
      </c>
      <c r="Q75" s="16" t="inlineStr">
        <is>
          <t>Kern</t>
        </is>
      </c>
      <c r="R75" s="16" t="inlineStr">
        <is>
          <t>knowledge</t>
        </is>
      </c>
      <c r="S75" s="16" t="inlineStr">
        <is>
          <t>Umgebaut</t>
        </is>
      </c>
      <c r="T75" s="16" t="inlineStr">
        <is>
          <t>Ersetzt individuelle Dringlichkeitsregeln.</t>
        </is>
      </c>
    </row>
    <row r="76" ht="67.5" customHeight="1" s="11">
      <c r="A76" s="15" t="inlineStr">
        <is>
          <t>T-U001-02</t>
        </is>
      </c>
      <c r="B76" s="15" t="inlineStr">
        <is>
          <t>U001</t>
        </is>
      </c>
      <c r="C76" s="15" t="inlineStr">
        <is>
          <t>M3</t>
        </is>
      </c>
      <c r="D76" s="15" t="n">
        <v>73</v>
      </c>
      <c r="E76" s="15" t="inlineStr">
        <is>
          <t>Beschwerde-Stichworte strukturiert erkennen</t>
        </is>
      </c>
      <c r="F76" s="15" t="inlineStr">
        <is>
          <t>Code</t>
        </is>
      </c>
      <c r="G76" s="19" t="n">
        <v>2</v>
      </c>
      <c r="H76" s="19" t="n">
        <v>1</v>
      </c>
      <c r="I76" s="18">
        <f>(G76+H76)/2</f>
        <v/>
      </c>
      <c r="J76" s="19" t="n">
        <v>3</v>
      </c>
      <c r="K76" s="15" t="inlineStr">
        <is>
          <t>T-U001-01, F010</t>
        </is>
      </c>
      <c r="L76" s="15" t="n"/>
      <c r="M76" s="19" t="inlineStr">
        <is>
          <t>Offen</t>
        </is>
      </c>
      <c r="N76" s="19" t="n"/>
      <c r="O76" s="19" t="n"/>
      <c r="P76" s="15" t="inlineStr">
        <is>
          <t>Nach menschlicher Freigabe</t>
        </is>
      </c>
      <c r="Q76" s="15" t="inlineStr">
        <is>
          <t>Kern</t>
        </is>
      </c>
      <c r="R76" s="15" t="inlineStr">
        <is>
          <t>features/guidance</t>
        </is>
      </c>
      <c r="S76" s="15" t="inlineStr">
        <is>
          <t>Umgebaut</t>
        </is>
      </c>
      <c r="T76" s="15" t="inlineStr">
        <is>
          <t>Abgleich statt Klassifikation.</t>
        </is>
      </c>
    </row>
    <row r="77" ht="67.5" customHeight="1" s="11">
      <c r="A77" s="16" t="inlineStr">
        <is>
          <t>T-U001-03</t>
        </is>
      </c>
      <c r="B77" s="16" t="inlineStr">
        <is>
          <t>U001</t>
        </is>
      </c>
      <c r="C77" s="16" t="inlineStr">
        <is>
          <t>M3</t>
        </is>
      </c>
      <c r="D77" s="16" t="n">
        <v>74</v>
      </c>
      <c r="E77" s="16" t="inlineStr">
        <is>
          <t>Festen Notfallhinweis auslösen</t>
        </is>
      </c>
      <c r="F77" s="16" t="inlineStr">
        <is>
          <t>Code</t>
        </is>
      </c>
      <c r="G77" s="19" t="n">
        <v>2</v>
      </c>
      <c r="H77" s="19" t="n">
        <v>1</v>
      </c>
      <c r="I77" s="18">
        <f>(G77+H77)/2</f>
        <v/>
      </c>
      <c r="J77" s="19" t="n">
        <v>3</v>
      </c>
      <c r="K77" s="16" t="inlineStr">
        <is>
          <t>T-U001-02</t>
        </is>
      </c>
      <c r="L77" s="16" t="n"/>
      <c r="M77" s="19" t="inlineStr">
        <is>
          <t>Offen</t>
        </is>
      </c>
      <c r="N77" s="19" t="n"/>
      <c r="O77" s="19" t="n"/>
      <c r="P77" s="16" t="inlineStr">
        <is>
          <t>Nach menschlicher Freigabe</t>
        </is>
      </c>
      <c r="Q77" s="16" t="inlineStr">
        <is>
          <t>Kern</t>
        </is>
      </c>
      <c r="R77" s="16" t="inlineStr">
        <is>
          <t>features/guidance</t>
        </is>
      </c>
      <c r="S77" s="16" t="inlineStr">
        <is>
          <t>Umgebaut</t>
        </is>
      </c>
      <c r="T77" s="16" t="inlineStr">
        <is>
          <t>Ersetzt Regelauswertung mit Dringlichkeitsstufen.</t>
        </is>
      </c>
    </row>
    <row r="78" ht="67.5" customHeight="1" s="11">
      <c r="A78" s="15" t="inlineStr">
        <is>
          <t>T-U001-04</t>
        </is>
      </c>
      <c r="B78" s="15" t="inlineStr">
        <is>
          <t>U001</t>
        </is>
      </c>
      <c r="C78" s="15" t="inlineStr">
        <is>
          <t>M3</t>
        </is>
      </c>
      <c r="D78" s="15" t="n">
        <v>75</v>
      </c>
      <c r="E78" s="15" t="inlineStr">
        <is>
          <t>Notfallhinweis vor die Antwort stellen</t>
        </is>
      </c>
      <c r="F78" s="15" t="inlineStr">
        <is>
          <t>Code</t>
        </is>
      </c>
      <c r="G78" s="19" t="n">
        <v>2</v>
      </c>
      <c r="H78" s="19" t="n">
        <v>1</v>
      </c>
      <c r="I78" s="18">
        <f>(G78+H78)/2</f>
        <v/>
      </c>
      <c r="J78" s="19" t="n">
        <v>3</v>
      </c>
      <c r="K78" s="15" t="inlineStr">
        <is>
          <t>T-U001-03</t>
        </is>
      </c>
      <c r="L78" s="15" t="n"/>
      <c r="M78" s="19" t="inlineStr">
        <is>
          <t>Offen</t>
        </is>
      </c>
      <c r="N78" s="19" t="n"/>
      <c r="O78" s="19" t="n"/>
      <c r="P78" s="15" t="inlineStr">
        <is>
          <t>Nach menschlicher Freigabe</t>
        </is>
      </c>
      <c r="Q78" s="15" t="inlineStr">
        <is>
          <t>Kern</t>
        </is>
      </c>
      <c r="R78" s="15" t="inlineStr">
        <is>
          <t>features/guidance</t>
        </is>
      </c>
      <c r="S78" s="15" t="inlineStr">
        <is>
          <t>Umgebaut</t>
        </is>
      </c>
      <c r="T78" s="15" t="inlineStr">
        <is>
          <t>Kein Abbruch des Dialogs, keine Einstufung.</t>
        </is>
      </c>
    </row>
    <row r="79" ht="67.5" customHeight="1" s="11">
      <c r="A79" s="16" t="inlineStr">
        <is>
          <t>T-U001-05</t>
        </is>
      </c>
      <c r="B79" s="16" t="inlineStr">
        <is>
          <t>U001</t>
        </is>
      </c>
      <c r="C79" s="16" t="inlineStr">
        <is>
          <t>M3</t>
        </is>
      </c>
      <c r="D79" s="16" t="n">
        <v>76</v>
      </c>
      <c r="E79" s="16" t="inlineStr">
        <is>
          <t>Hinweisgrenzen testen</t>
        </is>
      </c>
      <c r="F79" s="16" t="inlineStr">
        <is>
          <t>Test</t>
        </is>
      </c>
      <c r="G79" s="19" t="n">
        <v>2</v>
      </c>
      <c r="H79" s="19" t="n">
        <v>1</v>
      </c>
      <c r="I79" s="18">
        <f>(G79+H79)/2</f>
        <v/>
      </c>
      <c r="J79" s="19" t="n">
        <v>3</v>
      </c>
      <c r="K79" s="16" t="inlineStr">
        <is>
          <t>T-U001-04</t>
        </is>
      </c>
      <c r="L79" s="16" t="n"/>
      <c r="M79" s="19" t="inlineStr">
        <is>
          <t>Offen</t>
        </is>
      </c>
      <c r="N79" s="19" t="n"/>
      <c r="O79" s="19" t="n"/>
      <c r="P79" s="16" t="inlineStr">
        <is>
          <t>Unterstützend</t>
        </is>
      </c>
      <c r="Q79" s="16" t="inlineStr">
        <is>
          <t>Kern</t>
        </is>
      </c>
      <c r="R79" s="16" t="inlineStr">
        <is>
          <t>features/guidance</t>
        </is>
      </c>
      <c r="S79" s="16" t="inlineStr">
        <is>
          <t>Umgebaut</t>
        </is>
      </c>
      <c r="T79" s="16" t="inlineStr">
        <is>
          <t>Testziel angepasst.</t>
        </is>
      </c>
    </row>
    <row r="80" ht="67.5" customHeight="1" s="11">
      <c r="A80" s="15" t="inlineStr">
        <is>
          <t>T-U012-01</t>
        </is>
      </c>
      <c r="B80" s="15" t="inlineStr">
        <is>
          <t>U012</t>
        </is>
      </c>
      <c r="C80" s="15" t="inlineStr">
        <is>
          <t>M3</t>
        </is>
      </c>
      <c r="D80" s="15" t="n">
        <v>77</v>
      </c>
      <c r="E80" s="15" t="inlineStr">
        <is>
          <t>Korrekturereignis definieren</t>
        </is>
      </c>
      <c r="F80" s="15" t="inlineStr">
        <is>
          <t>Research</t>
        </is>
      </c>
      <c r="G80" s="19" t="n">
        <v>1</v>
      </c>
      <c r="H80" s="19" t="n">
        <v>3</v>
      </c>
      <c r="I80" s="18">
        <f>(G80+H80)/2</f>
        <v/>
      </c>
      <c r="J80" s="19" t="n">
        <v>2</v>
      </c>
      <c r="K80" s="15" t="inlineStr">
        <is>
          <t>F007, T-U025-03</t>
        </is>
      </c>
      <c r="L80" s="15" t="n"/>
      <c r="M80" s="19" t="inlineStr">
        <is>
          <t>Offen</t>
        </is>
      </c>
      <c r="N80" s="19" t="n"/>
      <c r="O80" s="19" t="n"/>
      <c r="P80" s="15" t="inlineStr">
        <is>
          <t>Unterstützend</t>
        </is>
      </c>
      <c r="Q80" s="15" t="inlineStr">
        <is>
          <t>Kern</t>
        </is>
      </c>
      <c r="R80" s="15" t="inlineStr">
        <is>
          <t>features/chat</t>
        </is>
      </c>
      <c r="S80" s="15" t="inlineStr">
        <is>
          <t>Erlaubt</t>
        </is>
      </c>
      <c r="T80" s="15" t="n"/>
    </row>
    <row r="81" ht="67.5" customHeight="1" s="11">
      <c r="A81" s="16" t="inlineStr">
        <is>
          <t>T-U012-02</t>
        </is>
      </c>
      <c r="B81" s="16" t="inlineStr">
        <is>
          <t>U012</t>
        </is>
      </c>
      <c r="C81" s="16" t="inlineStr">
        <is>
          <t>M3</t>
        </is>
      </c>
      <c r="D81" s="16" t="n">
        <v>78</v>
      </c>
      <c r="E81" s="16" t="inlineStr">
        <is>
          <t>Bestätigte Korrektur anwenden</t>
        </is>
      </c>
      <c r="F81" s="16" t="inlineStr">
        <is>
          <t>Code</t>
        </is>
      </c>
      <c r="G81" s="19" t="n">
        <v>2</v>
      </c>
      <c r="H81" s="19" t="n">
        <v>1</v>
      </c>
      <c r="I81" s="18">
        <f>(G81+H81)/2</f>
        <v/>
      </c>
      <c r="J81" s="19" t="n">
        <v>3</v>
      </c>
      <c r="K81" s="16" t="inlineStr">
        <is>
          <t>T-U012-01</t>
        </is>
      </c>
      <c r="L81" s="16" t="n"/>
      <c r="M81" s="19" t="inlineStr">
        <is>
          <t>Offen</t>
        </is>
      </c>
      <c r="N81" s="19" t="n"/>
      <c r="O81" s="19" t="n"/>
      <c r="P81" s="16" t="inlineStr">
        <is>
          <t>Nach menschlicher Freigabe</t>
        </is>
      </c>
      <c r="Q81" s="16" t="inlineStr">
        <is>
          <t>Kern</t>
        </is>
      </c>
      <c r="R81" s="16" t="inlineStr">
        <is>
          <t>features/chat</t>
        </is>
      </c>
      <c r="S81" s="16" t="inlineStr">
        <is>
          <t>Erlaubt</t>
        </is>
      </c>
      <c r="T81" s="16" t="n"/>
    </row>
    <row r="82" ht="67.5" customHeight="1" s="11">
      <c r="A82" s="15" t="inlineStr">
        <is>
          <t>T-U012-03</t>
        </is>
      </c>
      <c r="B82" s="15" t="inlineStr">
        <is>
          <t>U012</t>
        </is>
      </c>
      <c r="C82" s="15" t="inlineStr">
        <is>
          <t>M3</t>
        </is>
      </c>
      <c r="D82" s="15" t="n">
        <v>79</v>
      </c>
      <c r="E82" s="15" t="inlineStr">
        <is>
          <t>Korrektur bestätigen lassen</t>
        </is>
      </c>
      <c r="F82" s="15" t="inlineStr">
        <is>
          <t>Code</t>
        </is>
      </c>
      <c r="G82" s="19" t="n">
        <v>2</v>
      </c>
      <c r="H82" s="19" t="n">
        <v>1</v>
      </c>
      <c r="I82" s="18">
        <f>(G82+H82)/2</f>
        <v/>
      </c>
      <c r="J82" s="19" t="n">
        <v>3</v>
      </c>
      <c r="K82" s="15" t="inlineStr">
        <is>
          <t>T-U012-02</t>
        </is>
      </c>
      <c r="L82" s="15" t="n"/>
      <c r="M82" s="19" t="inlineStr">
        <is>
          <t>Offen</t>
        </is>
      </c>
      <c r="N82" s="19" t="n"/>
      <c r="O82" s="19" t="n"/>
      <c r="P82" s="15" t="inlineStr">
        <is>
          <t>Nach menschlicher Freigabe</t>
        </is>
      </c>
      <c r="Q82" s="15" t="inlineStr">
        <is>
          <t>Kern</t>
        </is>
      </c>
      <c r="R82" s="15" t="inlineStr">
        <is>
          <t>features/chat</t>
        </is>
      </c>
      <c r="S82" s="15" t="inlineStr">
        <is>
          <t>Erlaubt</t>
        </is>
      </c>
      <c r="T82" s="15" t="n"/>
    </row>
    <row r="83" ht="67.5" customHeight="1" s="11">
      <c r="A83" s="16" t="inlineStr">
        <is>
          <t>T-U013-01</t>
        </is>
      </c>
      <c r="B83" s="16" t="inlineStr">
        <is>
          <t>U013</t>
        </is>
      </c>
      <c r="C83" s="16" t="inlineStr">
        <is>
          <t>M3</t>
        </is>
      </c>
      <c r="D83" s="16" t="n">
        <v>80</v>
      </c>
      <c r="E83" s="16" t="inlineStr">
        <is>
          <t>Mehrfachanliegen strukturieren</t>
        </is>
      </c>
      <c r="F83" s="16" t="inlineStr">
        <is>
          <t>Code</t>
        </is>
      </c>
      <c r="G83" s="19" t="n">
        <v>2</v>
      </c>
      <c r="H83" s="19" t="n">
        <v>1</v>
      </c>
      <c r="I83" s="18">
        <f>(G83+H83)/2</f>
        <v/>
      </c>
      <c r="J83" s="19" t="n">
        <v>3</v>
      </c>
      <c r="K83" s="16" t="inlineStr">
        <is>
          <t>F007, T-U001-05</t>
        </is>
      </c>
      <c r="L83" s="16" t="n"/>
      <c r="M83" s="19" t="inlineStr">
        <is>
          <t>Offen</t>
        </is>
      </c>
      <c r="N83" s="19" t="n"/>
      <c r="O83" s="19" t="n"/>
      <c r="P83" s="16" t="inlineStr">
        <is>
          <t>Nach menschlicher Freigabe</t>
        </is>
      </c>
      <c r="Q83" s="16" t="inlineStr">
        <is>
          <t>Kern</t>
        </is>
      </c>
      <c r="R83" s="16" t="inlineStr">
        <is>
          <t>features/chat</t>
        </is>
      </c>
      <c r="S83" s="16" t="inlineStr">
        <is>
          <t>Erlaubt</t>
        </is>
      </c>
      <c r="T83" s="16" t="n"/>
    </row>
    <row r="84" ht="67.5" customHeight="1" s="11">
      <c r="A84" s="15" t="inlineStr">
        <is>
          <t>T-U013-02</t>
        </is>
      </c>
      <c r="B84" s="15" t="inlineStr">
        <is>
          <t>U013</t>
        </is>
      </c>
      <c r="C84" s="15" t="inlineStr">
        <is>
          <t>M3</t>
        </is>
      </c>
      <c r="D84" s="15" t="n">
        <v>81</v>
      </c>
      <c r="E84" s="15" t="inlineStr">
        <is>
          <t>Notfallhinweis bei Mehrfachanliegen voranstellen</t>
        </is>
      </c>
      <c r="F84" s="15" t="inlineStr">
        <is>
          <t>Code</t>
        </is>
      </c>
      <c r="G84" s="19" t="n">
        <v>2</v>
      </c>
      <c r="H84" s="19" t="n">
        <v>1</v>
      </c>
      <c r="I84" s="18">
        <f>(G84+H84)/2</f>
        <v/>
      </c>
      <c r="J84" s="19" t="n">
        <v>3</v>
      </c>
      <c r="K84" s="15" t="inlineStr">
        <is>
          <t>T-U013-01</t>
        </is>
      </c>
      <c r="L84" s="15" t="n"/>
      <c r="M84" s="19" t="inlineStr">
        <is>
          <t>Offen</t>
        </is>
      </c>
      <c r="N84" s="19" t="n"/>
      <c r="O84" s="19" t="n"/>
      <c r="P84" s="15" t="inlineStr">
        <is>
          <t>Nach menschlicher Freigabe</t>
        </is>
      </c>
      <c r="Q84" s="15" t="inlineStr">
        <is>
          <t>Kern</t>
        </is>
      </c>
      <c r="R84" s="15" t="inlineStr">
        <is>
          <t>features/chat</t>
        </is>
      </c>
      <c r="S84" s="15" t="inlineStr">
        <is>
          <t>Umgebaut</t>
        </is>
      </c>
      <c r="T84" s="15" t="inlineStr">
        <is>
          <t>Ersetzt Dringlichkeitspriorisierung.</t>
        </is>
      </c>
    </row>
    <row r="85" ht="67.5" customHeight="1" s="11">
      <c r="A85" s="16" t="inlineStr">
        <is>
          <t>T-U013-03</t>
        </is>
      </c>
      <c r="B85" s="16" t="inlineStr">
        <is>
          <t>U013</t>
        </is>
      </c>
      <c r="C85" s="16" t="inlineStr">
        <is>
          <t>M3</t>
        </is>
      </c>
      <c r="D85" s="16" t="n">
        <v>82</v>
      </c>
      <c r="E85" s="16" t="inlineStr">
        <is>
          <t>Getrennte Antworten darstellen</t>
        </is>
      </c>
      <c r="F85" s="16" t="inlineStr">
        <is>
          <t>Code</t>
        </is>
      </c>
      <c r="G85" s="19" t="n">
        <v>2</v>
      </c>
      <c r="H85" s="19" t="n">
        <v>1</v>
      </c>
      <c r="I85" s="18">
        <f>(G85+H85)/2</f>
        <v/>
      </c>
      <c r="J85" s="19" t="n">
        <v>3</v>
      </c>
      <c r="K85" s="16" t="inlineStr">
        <is>
          <t>T-U013-02</t>
        </is>
      </c>
      <c r="L85" s="16" t="n"/>
      <c r="M85" s="19" t="inlineStr">
        <is>
          <t>Offen</t>
        </is>
      </c>
      <c r="N85" s="19" t="n"/>
      <c r="O85" s="19" t="n"/>
      <c r="P85" s="16" t="inlineStr">
        <is>
          <t>Nach menschlicher Freigabe</t>
        </is>
      </c>
      <c r="Q85" s="16" t="inlineStr">
        <is>
          <t>Kern</t>
        </is>
      </c>
      <c r="R85" s="16" t="inlineStr">
        <is>
          <t>apps/web</t>
        </is>
      </c>
      <c r="S85" s="16" t="inlineStr">
        <is>
          <t>Erlaubt</t>
        </is>
      </c>
      <c r="T85" s="16" t="n"/>
    </row>
    <row r="86" ht="67.5" customHeight="1" s="11">
      <c r="A86" s="15" t="inlineStr">
        <is>
          <t>T-U014-01</t>
        </is>
      </c>
      <c r="B86" s="15" t="inlineStr">
        <is>
          <t>U014</t>
        </is>
      </c>
      <c r="C86" s="15" t="inlineStr">
        <is>
          <t>M3</t>
        </is>
      </c>
      <c r="D86" s="15" t="n">
        <v>83</v>
      </c>
      <c r="E86" s="15" t="inlineStr">
        <is>
          <t>Zusammenfassungsobjekt erstellen</t>
        </is>
      </c>
      <c r="F86" s="15" t="inlineStr">
        <is>
          <t>Code</t>
        </is>
      </c>
      <c r="G86" s="19" t="n">
        <v>2</v>
      </c>
      <c r="H86" s="19" t="n">
        <v>1</v>
      </c>
      <c r="I86" s="18">
        <f>(G86+H86)/2</f>
        <v/>
      </c>
      <c r="J86" s="19" t="n">
        <v>3</v>
      </c>
      <c r="K86" s="15" t="inlineStr">
        <is>
          <t>F007, T-U025-03, T-U007-04, T-U012-03</t>
        </is>
      </c>
      <c r="L86" s="15" t="n"/>
      <c r="M86" s="19" t="inlineStr">
        <is>
          <t>Offen</t>
        </is>
      </c>
      <c r="N86" s="19" t="n"/>
      <c r="O86" s="19" t="n"/>
      <c r="P86" s="15" t="inlineStr">
        <is>
          <t>Nach menschlicher Freigabe</t>
        </is>
      </c>
      <c r="Q86" s="15" t="inlineStr">
        <is>
          <t>Ergänzung</t>
        </is>
      </c>
      <c r="R86" s="15" t="inlineStr">
        <is>
          <t>features/summary (neu)</t>
        </is>
      </c>
      <c r="S86" s="15" t="inlineStr">
        <is>
          <t>Umgebaut</t>
        </is>
      </c>
      <c r="T86" s="15" t="inlineStr">
        <is>
          <t>Chatbot-Hinweise aus PDF entfernt.</t>
        </is>
      </c>
    </row>
    <row r="87" ht="67.5" customHeight="1" s="11">
      <c r="A87" s="16" t="inlineStr">
        <is>
          <t>T-U014-02</t>
        </is>
      </c>
      <c r="B87" s="16" t="inlineStr">
        <is>
          <t>U014</t>
        </is>
      </c>
      <c r="C87" s="16" t="inlineStr">
        <is>
          <t>M3</t>
        </is>
      </c>
      <c r="D87" s="16" t="n">
        <v>84</v>
      </c>
      <c r="E87" s="16" t="inlineStr">
        <is>
          <t>Vorschau und Auswahl bauen</t>
        </is>
      </c>
      <c r="F87" s="16" t="inlineStr">
        <is>
          <t>Code</t>
        </is>
      </c>
      <c r="G87" s="19" t="n">
        <v>2</v>
      </c>
      <c r="H87" s="19" t="n">
        <v>1</v>
      </c>
      <c r="I87" s="18">
        <f>(G87+H87)/2</f>
        <v/>
      </c>
      <c r="J87" s="19" t="n">
        <v>3</v>
      </c>
      <c r="K87" s="16" t="inlineStr">
        <is>
          <t>T-U014-01</t>
        </is>
      </c>
      <c r="L87" s="16" t="n"/>
      <c r="M87" s="19" t="inlineStr">
        <is>
          <t>Offen</t>
        </is>
      </c>
      <c r="N87" s="19" t="n"/>
      <c r="O87" s="19" t="n"/>
      <c r="P87" s="16" t="inlineStr">
        <is>
          <t>Nach menschlicher Freigabe</t>
        </is>
      </c>
      <c r="Q87" s="16" t="inlineStr">
        <is>
          <t>Ergänzung</t>
        </is>
      </c>
      <c r="R87" s="16" t="inlineStr">
        <is>
          <t>apps/web</t>
        </is>
      </c>
      <c r="S87" s="16" t="inlineStr">
        <is>
          <t>Erlaubt</t>
        </is>
      </c>
      <c r="T87" s="16" t="n"/>
    </row>
    <row r="88" ht="67.5" customHeight="1" s="11">
      <c r="A88" s="15" t="inlineStr">
        <is>
          <t>T-U014-03</t>
        </is>
      </c>
      <c r="B88" s="15" t="inlineStr">
        <is>
          <t>U014</t>
        </is>
      </c>
      <c r="C88" s="15" t="inlineStr">
        <is>
          <t>M3</t>
        </is>
      </c>
      <c r="D88" s="15" t="n">
        <v>85</v>
      </c>
      <c r="E88" s="15" t="inlineStr">
        <is>
          <t>PDF aus bestätigter Vorschau erzeugen</t>
        </is>
      </c>
      <c r="F88" s="15" t="inlineStr">
        <is>
          <t>Code</t>
        </is>
      </c>
      <c r="G88" s="19" t="n">
        <v>2</v>
      </c>
      <c r="H88" s="19" t="n">
        <v>1</v>
      </c>
      <c r="I88" s="18">
        <f>(G88+H88)/2</f>
        <v/>
      </c>
      <c r="J88" s="19" t="n">
        <v>3</v>
      </c>
      <c r="K88" s="15" t="inlineStr">
        <is>
          <t>T-U014-02</t>
        </is>
      </c>
      <c r="L88" s="15" t="n"/>
      <c r="M88" s="19" t="inlineStr">
        <is>
          <t>Offen</t>
        </is>
      </c>
      <c r="N88" s="19" t="n"/>
      <c r="O88" s="19" t="n"/>
      <c r="P88" s="15" t="inlineStr">
        <is>
          <t>Nach menschlicher Freigabe</t>
        </is>
      </c>
      <c r="Q88" s="15" t="inlineStr">
        <is>
          <t>Ergänzung</t>
        </is>
      </c>
      <c r="R88" s="15" t="inlineStr">
        <is>
          <t>apps/web</t>
        </is>
      </c>
      <c r="S88" s="15" t="inlineStr">
        <is>
          <t>Erlaubt</t>
        </is>
      </c>
      <c r="T88" s="15" t="n"/>
    </row>
    <row r="89" ht="67.5" customHeight="1" s="11">
      <c r="A89" s="16" t="inlineStr">
        <is>
          <t>T-U014-04</t>
        </is>
      </c>
      <c r="B89" s="16" t="inlineStr">
        <is>
          <t>U014</t>
        </is>
      </c>
      <c r="C89" s="16" t="inlineStr">
        <is>
          <t>M3</t>
        </is>
      </c>
      <c r="D89" s="16" t="n">
        <v>86</v>
      </c>
      <c r="E89" s="16" t="inlineStr">
        <is>
          <t>Exportzugriff und Bereinigung prüfen</t>
        </is>
      </c>
      <c r="F89" s="16" t="inlineStr">
        <is>
          <t>Test</t>
        </is>
      </c>
      <c r="G89" s="19" t="n">
        <v>2</v>
      </c>
      <c r="H89" s="19" t="n">
        <v>1</v>
      </c>
      <c r="I89" s="18">
        <f>(G89+H89)/2</f>
        <v/>
      </c>
      <c r="J89" s="19" t="n">
        <v>3</v>
      </c>
      <c r="K89" s="16" t="inlineStr">
        <is>
          <t>T-U014-03</t>
        </is>
      </c>
      <c r="L89" s="16" t="n"/>
      <c r="M89" s="19" t="inlineStr">
        <is>
          <t>Offen</t>
        </is>
      </c>
      <c r="N89" s="19" t="n"/>
      <c r="O89" s="19" t="n"/>
      <c r="P89" s="16" t="inlineStr">
        <is>
          <t>Unterstützend</t>
        </is>
      </c>
      <c r="Q89" s="16" t="inlineStr">
        <is>
          <t>Ergänzung</t>
        </is>
      </c>
      <c r="R89" s="16" t="inlineStr">
        <is>
          <t>features/summary (neu)</t>
        </is>
      </c>
      <c r="S89" s="16" t="inlineStr">
        <is>
          <t>Erlaubt</t>
        </is>
      </c>
      <c r="T89" s="16" t="n"/>
    </row>
    <row r="90" ht="67.5" customHeight="1" s="11">
      <c r="A90" s="15" t="inlineStr">
        <is>
          <t>T-U021-01</t>
        </is>
      </c>
      <c r="B90" s="15" t="inlineStr">
        <is>
          <t>U021</t>
        </is>
      </c>
      <c r="C90" s="15" t="inlineStr">
        <is>
          <t>M3</t>
        </is>
      </c>
      <c r="D90" s="15" t="n">
        <v>87</v>
      </c>
      <c r="E90" s="15" t="inlineStr">
        <is>
          <t>Konflikttypen begrenzen</t>
        </is>
      </c>
      <c r="F90" s="15" t="inlineStr">
        <is>
          <t>Research</t>
        </is>
      </c>
      <c r="G90" s="19" t="n">
        <v>1</v>
      </c>
      <c r="H90" s="19" t="n">
        <v>3</v>
      </c>
      <c r="I90" s="18">
        <f>(G90+H90)/2</f>
        <v/>
      </c>
      <c r="J90" s="19" t="n">
        <v>2</v>
      </c>
      <c r="K90" s="15" t="inlineStr">
        <is>
          <t>F007, T-U012-03, T-U007-04</t>
        </is>
      </c>
      <c r="L90" s="15" t="n"/>
      <c r="M90" s="19" t="inlineStr">
        <is>
          <t>Offen</t>
        </is>
      </c>
      <c r="N90" s="19" t="n"/>
      <c r="O90" s="19" t="n"/>
      <c r="P90" s="15" t="inlineStr">
        <is>
          <t>Unterstützend</t>
        </is>
      </c>
      <c r="Q90" s="15" t="inlineStr">
        <is>
          <t>Ergänzung</t>
        </is>
      </c>
      <c r="R90" s="15" t="inlineStr">
        <is>
          <t>features/chat</t>
        </is>
      </c>
      <c r="S90" s="15" t="inlineStr">
        <is>
          <t>Erlaubt</t>
        </is>
      </c>
      <c r="T90" s="15" t="n"/>
    </row>
    <row r="91" ht="67.5" customHeight="1" s="11">
      <c r="A91" s="16" t="inlineStr">
        <is>
          <t>T-U021-02</t>
        </is>
      </c>
      <c r="B91" s="16" t="inlineStr">
        <is>
          <t>U021</t>
        </is>
      </c>
      <c r="C91" s="16" t="inlineStr">
        <is>
          <t>M3</t>
        </is>
      </c>
      <c r="D91" s="16" t="n">
        <v>88</v>
      </c>
      <c r="E91" s="16" t="inlineStr">
        <is>
          <t>Konflikte erkennen</t>
        </is>
      </c>
      <c r="F91" s="16" t="inlineStr">
        <is>
          <t>Code</t>
        </is>
      </c>
      <c r="G91" s="19" t="n">
        <v>2</v>
      </c>
      <c r="H91" s="19" t="n">
        <v>1</v>
      </c>
      <c r="I91" s="18">
        <f>(G91+H91)/2</f>
        <v/>
      </c>
      <c r="J91" s="19" t="n">
        <v>3</v>
      </c>
      <c r="K91" s="16" t="inlineStr">
        <is>
          <t>T-U021-01</t>
        </is>
      </c>
      <c r="L91" s="16" t="n"/>
      <c r="M91" s="19" t="inlineStr">
        <is>
          <t>Offen</t>
        </is>
      </c>
      <c r="N91" s="19" t="n"/>
      <c r="O91" s="19" t="n"/>
      <c r="P91" s="16" t="inlineStr">
        <is>
          <t>Nach menschlicher Freigabe</t>
        </is>
      </c>
      <c r="Q91" s="16" t="inlineStr">
        <is>
          <t>Ergänzung</t>
        </is>
      </c>
      <c r="R91" s="16" t="inlineStr">
        <is>
          <t>features/chat</t>
        </is>
      </c>
      <c r="S91" s="16" t="inlineStr">
        <is>
          <t>Erlaubt</t>
        </is>
      </c>
      <c r="T91" s="16" t="n"/>
    </row>
    <row r="92" ht="67.5" customHeight="1" s="11">
      <c r="A92" s="15" t="inlineStr">
        <is>
          <t>T-U021-03</t>
        </is>
      </c>
      <c r="B92" s="15" t="inlineStr">
        <is>
          <t>U021</t>
        </is>
      </c>
      <c r="C92" s="15" t="inlineStr">
        <is>
          <t>M3</t>
        </is>
      </c>
      <c r="D92" s="15" t="n">
        <v>89</v>
      </c>
      <c r="E92" s="15" t="inlineStr">
        <is>
          <t>Konflikt durch Rückfrage klären</t>
        </is>
      </c>
      <c r="F92" s="15" t="inlineStr">
        <is>
          <t>Code</t>
        </is>
      </c>
      <c r="G92" s="19" t="n">
        <v>2</v>
      </c>
      <c r="H92" s="19" t="n">
        <v>1</v>
      </c>
      <c r="I92" s="18">
        <f>(G92+H92)/2</f>
        <v/>
      </c>
      <c r="J92" s="19" t="n">
        <v>3</v>
      </c>
      <c r="K92" s="15" t="inlineStr">
        <is>
          <t>T-U021-02</t>
        </is>
      </c>
      <c r="L92" s="15" t="n"/>
      <c r="M92" s="19" t="inlineStr">
        <is>
          <t>Offen</t>
        </is>
      </c>
      <c r="N92" s="19" t="n"/>
      <c r="O92" s="19" t="n"/>
      <c r="P92" s="15" t="inlineStr">
        <is>
          <t>Nach menschlicher Freigabe</t>
        </is>
      </c>
      <c r="Q92" s="15" t="inlineStr">
        <is>
          <t>Ergänzung</t>
        </is>
      </c>
      <c r="R92" s="15" t="inlineStr">
        <is>
          <t>features/chat</t>
        </is>
      </c>
      <c r="S92" s="15" t="inlineStr">
        <is>
          <t>Erlaubt</t>
        </is>
      </c>
      <c r="T92" s="15" t="n"/>
    </row>
    <row r="93" ht="67.5" customHeight="1" s="11">
      <c r="A93" s="16" t="inlineStr">
        <is>
          <t>T-U006-01</t>
        </is>
      </c>
      <c r="B93" s="16" t="inlineStr">
        <is>
          <t>U006</t>
        </is>
      </c>
      <c r="C93" s="16" t="inlineStr">
        <is>
          <t>M4</t>
        </is>
      </c>
      <c r="D93" s="16" t="n">
        <v>90</v>
      </c>
      <c r="E93" s="16" t="inlineStr">
        <is>
          <t>Zeitraumvergleich festlegen</t>
        </is>
      </c>
      <c r="F93" s="16" t="inlineStr">
        <is>
          <t>Research</t>
        </is>
      </c>
      <c r="G93" s="19" t="n">
        <v>1</v>
      </c>
      <c r="H93" s="19" t="n">
        <v>3</v>
      </c>
      <c r="I93" s="18">
        <f>(G93+H93)/2</f>
        <v/>
      </c>
      <c r="J93" s="19" t="n">
        <v>2</v>
      </c>
      <c r="K93" s="16" t="inlineStr">
        <is>
          <t>F007, T-U007-04, T-U011-03</t>
        </is>
      </c>
      <c r="L93" s="16" t="inlineStr">
        <is>
          <t>D04</t>
        </is>
      </c>
      <c r="M93" s="19" t="inlineStr">
        <is>
          <t>Offen</t>
        </is>
      </c>
      <c r="N93" s="19" t="n"/>
      <c r="O93" s="19" t="n"/>
      <c r="P93" s="16" t="inlineStr">
        <is>
          <t>Unterstützend</t>
        </is>
      </c>
      <c r="Q93" s="16" t="inlineStr">
        <is>
          <t>Kern</t>
        </is>
      </c>
      <c r="R93" s="16" t="inlineStr">
        <is>
          <t>features/analysis</t>
        </is>
      </c>
      <c r="S93" s="16" t="inlineStr">
        <is>
          <t>Erlaubt</t>
        </is>
      </c>
      <c r="T93" s="16" t="n"/>
    </row>
    <row r="94" ht="67.5" customHeight="1" s="11">
      <c r="A94" s="15" t="inlineStr">
        <is>
          <t>T-U006-02</t>
        </is>
      </c>
      <c r="B94" s="15" t="inlineStr">
        <is>
          <t>U006</t>
        </is>
      </c>
      <c r="C94" s="15" t="inlineStr">
        <is>
          <t>M4</t>
        </is>
      </c>
      <c r="D94" s="15" t="n">
        <v>91</v>
      </c>
      <c r="E94" s="15" t="inlineStr">
        <is>
          <t>Vergleich deterministisch berechnen</t>
        </is>
      </c>
      <c r="F94" s="15" t="inlineStr">
        <is>
          <t>Code</t>
        </is>
      </c>
      <c r="G94" s="19" t="n">
        <v>2</v>
      </c>
      <c r="H94" s="19" t="n">
        <v>1</v>
      </c>
      <c r="I94" s="18">
        <f>(G94+H94)/2</f>
        <v/>
      </c>
      <c r="J94" s="19" t="n">
        <v>3</v>
      </c>
      <c r="K94" s="15" t="inlineStr">
        <is>
          <t>T-U006-01</t>
        </is>
      </c>
      <c r="L94" s="15" t="n"/>
      <c r="M94" s="19" t="inlineStr">
        <is>
          <t>Offen</t>
        </is>
      </c>
      <c r="N94" s="19" t="n"/>
      <c r="O94" s="19" t="n"/>
      <c r="P94" s="15" t="inlineStr">
        <is>
          <t>Nach menschlicher Freigabe</t>
        </is>
      </c>
      <c r="Q94" s="15" t="inlineStr">
        <is>
          <t>Kern</t>
        </is>
      </c>
      <c r="R94" s="15" t="inlineStr">
        <is>
          <t>features/analysis</t>
        </is>
      </c>
      <c r="S94" s="15" t="inlineStr">
        <is>
          <t>Erlaubt</t>
        </is>
      </c>
      <c r="T94" s="15" t="n"/>
    </row>
    <row r="95" ht="67.5" customHeight="1" s="11">
      <c r="A95" s="16" t="inlineStr">
        <is>
          <t>T-U006-03</t>
        </is>
      </c>
      <c r="B95" s="16" t="inlineStr">
        <is>
          <t>U006</t>
        </is>
      </c>
      <c r="C95" s="16" t="inlineStr">
        <is>
          <t>M4</t>
        </is>
      </c>
      <c r="D95" s="16" t="n">
        <v>92</v>
      </c>
      <c r="E95" s="16" t="inlineStr">
        <is>
          <t>Analysebelege zusammenstellen</t>
        </is>
      </c>
      <c r="F95" s="16" t="inlineStr">
        <is>
          <t>Code</t>
        </is>
      </c>
      <c r="G95" s="19" t="n">
        <v>2</v>
      </c>
      <c r="H95" s="19" t="n">
        <v>1</v>
      </c>
      <c r="I95" s="18">
        <f>(G95+H95)/2</f>
        <v/>
      </c>
      <c r="J95" s="19" t="n">
        <v>3</v>
      </c>
      <c r="K95" s="16" t="inlineStr">
        <is>
          <t>T-U006-02</t>
        </is>
      </c>
      <c r="L95" s="16" t="n"/>
      <c r="M95" s="19" t="inlineStr">
        <is>
          <t>Offen</t>
        </is>
      </c>
      <c r="N95" s="19" t="n"/>
      <c r="O95" s="19" t="n"/>
      <c r="P95" s="16" t="inlineStr">
        <is>
          <t>Nach menschlicher Freigabe</t>
        </is>
      </c>
      <c r="Q95" s="16" t="inlineStr">
        <is>
          <t>Kern</t>
        </is>
      </c>
      <c r="R95" s="16" t="inlineStr">
        <is>
          <t>features/analysis</t>
        </is>
      </c>
      <c r="S95" s="16" t="inlineStr">
        <is>
          <t>Erlaubt</t>
        </is>
      </c>
      <c r="T95" s="16" t="n"/>
    </row>
    <row r="96" ht="67.5" customHeight="1" s="11">
      <c r="A96" s="15" t="inlineStr">
        <is>
          <t>T-U006-04</t>
        </is>
      </c>
      <c r="B96" s="15" t="inlineStr">
        <is>
          <t>U006</t>
        </is>
      </c>
      <c r="C96" s="15" t="inlineStr">
        <is>
          <t>M4</t>
        </is>
      </c>
      <c r="D96" s="15" t="n">
        <v>93</v>
      </c>
      <c r="E96" s="15" t="inlineStr">
        <is>
          <t>Vergleich verständlich erklären</t>
        </is>
      </c>
      <c r="F96" s="15" t="inlineStr">
        <is>
          <t>Code</t>
        </is>
      </c>
      <c r="G96" s="19" t="n">
        <v>2</v>
      </c>
      <c r="H96" s="19" t="n">
        <v>1</v>
      </c>
      <c r="I96" s="18">
        <f>(G96+H96)/2</f>
        <v/>
      </c>
      <c r="J96" s="19" t="n">
        <v>3</v>
      </c>
      <c r="K96" s="15" t="inlineStr">
        <is>
          <t>T-U006-03</t>
        </is>
      </c>
      <c r="L96" s="15" t="n"/>
      <c r="M96" s="19" t="inlineStr">
        <is>
          <t>Offen</t>
        </is>
      </c>
      <c r="N96" s="19" t="n"/>
      <c r="O96" s="19" t="n"/>
      <c r="P96" s="15" t="inlineStr">
        <is>
          <t>Nach menschlicher Freigabe</t>
        </is>
      </c>
      <c r="Q96" s="15" t="inlineStr">
        <is>
          <t>Kern</t>
        </is>
      </c>
      <c r="R96" s="15" t="inlineStr">
        <is>
          <t>features/analysis</t>
        </is>
      </c>
      <c r="S96" s="15" t="inlineStr">
        <is>
          <t>Umgebaut</t>
        </is>
      </c>
      <c r="T96" s="15" t="inlineStr">
        <is>
          <t>Bewertende Sprache ausgeschlossen.</t>
        </is>
      </c>
    </row>
    <row r="97" ht="67.5" customHeight="1" s="11">
      <c r="A97" s="16" t="inlineStr">
        <is>
          <t>T-U006-05</t>
        </is>
      </c>
      <c r="B97" s="16" t="inlineStr">
        <is>
          <t>U006</t>
        </is>
      </c>
      <c r="C97" s="16" t="inlineStr">
        <is>
          <t>M4</t>
        </is>
      </c>
      <c r="D97" s="16" t="n">
        <v>94</v>
      </c>
      <c r="E97" s="16" t="inlineStr">
        <is>
          <t>Vergleichsansicht integrieren</t>
        </is>
      </c>
      <c r="F97" s="16" t="inlineStr">
        <is>
          <t>Code</t>
        </is>
      </c>
      <c r="G97" s="19" t="n">
        <v>2</v>
      </c>
      <c r="H97" s="19" t="n">
        <v>1</v>
      </c>
      <c r="I97" s="18">
        <f>(G97+H97)/2</f>
        <v/>
      </c>
      <c r="J97" s="19" t="n">
        <v>3</v>
      </c>
      <c r="K97" s="16" t="inlineStr">
        <is>
          <t>T-U006-04</t>
        </is>
      </c>
      <c r="L97" s="16" t="inlineStr">
        <is>
          <t>D08</t>
        </is>
      </c>
      <c r="M97" s="19" t="inlineStr">
        <is>
          <t>Offen</t>
        </is>
      </c>
      <c r="N97" s="19" t="n"/>
      <c r="O97" s="19" t="n"/>
      <c r="P97" s="16" t="inlineStr">
        <is>
          <t>Nach menschlicher Freigabe</t>
        </is>
      </c>
      <c r="Q97" s="16" t="inlineStr">
        <is>
          <t>Kern</t>
        </is>
      </c>
      <c r="R97" s="16" t="inlineStr">
        <is>
          <t>apps/web</t>
        </is>
      </c>
      <c r="S97" s="16" t="inlineStr">
        <is>
          <t>Umgebaut</t>
        </is>
      </c>
      <c r="T97" s="16" t="inlineStr">
        <is>
          <t>Referenzbereiche gestrichen.</t>
        </is>
      </c>
    </row>
    <row r="98" ht="67.5" customHeight="1" s="11">
      <c r="A98" s="15" t="inlineStr">
        <is>
          <t>T-U002-01</t>
        </is>
      </c>
      <c r="B98" s="15" t="inlineStr">
        <is>
          <t>U002</t>
        </is>
      </c>
      <c r="C98" s="15" t="inlineStr">
        <is>
          <t>M4</t>
        </is>
      </c>
      <c r="D98" s="15" t="n">
        <v>95</v>
      </c>
      <c r="E98" s="15" t="inlineStr">
        <is>
          <t>Ursachenvermutung getrennt erfassen</t>
        </is>
      </c>
      <c r="F98" s="15" t="inlineStr">
        <is>
          <t>Code</t>
        </is>
      </c>
      <c r="G98" s="19" t="n">
        <v>2</v>
      </c>
      <c r="H98" s="19" t="n">
        <v>1</v>
      </c>
      <c r="I98" s="18">
        <f>(G98+H98)/2</f>
        <v/>
      </c>
      <c r="J98" s="19" t="n">
        <v>3</v>
      </c>
      <c r="K98" s="15" t="inlineStr">
        <is>
          <t>F007, T-U001-05, T-U006-05</t>
        </is>
      </c>
      <c r="L98" s="15" t="inlineStr">
        <is>
          <t>D04</t>
        </is>
      </c>
      <c r="M98" s="19" t="inlineStr">
        <is>
          <t>Gestrichen</t>
        </is>
      </c>
      <c r="N98" s="19" t="n"/>
      <c r="O98" s="19" t="n"/>
      <c r="P98" s="15" t="inlineStr">
        <is>
          <t>Nach menschlicher Freigabe</t>
        </is>
      </c>
      <c r="Q98" s="15" t="inlineStr">
        <is>
          <t>Gestrichen</t>
        </is>
      </c>
      <c r="R98" s="15" t="inlineStr">
        <is>
          <t>-</t>
        </is>
      </c>
      <c r="S98" s="15" t="inlineStr">
        <is>
          <t>Gestrichen</t>
        </is>
      </c>
      <c r="T98" s="15" t="inlineStr">
        <is>
          <t>Ursachen einer Beschwerde einzuordnen ist Diagnostik.</t>
        </is>
      </c>
    </row>
    <row r="99" ht="67.5" customHeight="1" s="11">
      <c r="A99" s="16" t="inlineStr">
        <is>
          <t>T-U002-02</t>
        </is>
      </c>
      <c r="B99" s="16" t="inlineStr">
        <is>
          <t>U002</t>
        </is>
      </c>
      <c r="C99" s="16" t="inlineStr">
        <is>
          <t>M4</t>
        </is>
      </c>
      <c r="D99" s="16" t="n">
        <v>96</v>
      </c>
      <c r="E99" s="16" t="inlineStr">
        <is>
          <t>Kontext für einen Demo-Fall auswählen</t>
        </is>
      </c>
      <c r="F99" s="16" t="inlineStr">
        <is>
          <t>Code</t>
        </is>
      </c>
      <c r="G99" s="19" t="n">
        <v>2</v>
      </c>
      <c r="H99" s="19" t="n">
        <v>1</v>
      </c>
      <c r="I99" s="18">
        <f>(G99+H99)/2</f>
        <v/>
      </c>
      <c r="J99" s="19" t="n">
        <v>3</v>
      </c>
      <c r="K99" s="16" t="inlineStr">
        <is>
          <t>T-U002-01</t>
        </is>
      </c>
      <c r="L99" s="16" t="n"/>
      <c r="M99" s="19" t="inlineStr">
        <is>
          <t>Gestrichen</t>
        </is>
      </c>
      <c r="N99" s="19" t="n"/>
      <c r="O99" s="19" t="n"/>
      <c r="P99" s="16" t="inlineStr">
        <is>
          <t>Nach menschlicher Freigabe</t>
        </is>
      </c>
      <c r="Q99" s="16" t="inlineStr">
        <is>
          <t>Gestrichen</t>
        </is>
      </c>
      <c r="R99" s="16" t="inlineStr">
        <is>
          <t>-</t>
        </is>
      </c>
      <c r="S99" s="16" t="inlineStr">
        <is>
          <t>Gestrichen</t>
        </is>
      </c>
      <c r="T99" s="16" t="inlineStr">
        <is>
          <t>Ursachen einer Beschwerde einzuordnen ist Diagnostik.</t>
        </is>
      </c>
    </row>
    <row r="100" ht="67.5" customHeight="1" s="11">
      <c r="A100" s="15" t="inlineStr">
        <is>
          <t>T-U002-03</t>
        </is>
      </c>
      <c r="B100" s="15" t="inlineStr">
        <is>
          <t>U002</t>
        </is>
      </c>
      <c r="C100" s="15" t="inlineStr">
        <is>
          <t>M4</t>
        </is>
      </c>
      <c r="D100" s="15" t="n">
        <v>97</v>
      </c>
      <c r="E100" s="15" t="inlineStr">
        <is>
          <t>Vorsichtige Einordnung generieren</t>
        </is>
      </c>
      <c r="F100" s="15" t="inlineStr">
        <is>
          <t>Code</t>
        </is>
      </c>
      <c r="G100" s="19" t="n">
        <v>2</v>
      </c>
      <c r="H100" s="19" t="n">
        <v>1</v>
      </c>
      <c r="I100" s="18">
        <f>(G100+H100)/2</f>
        <v/>
      </c>
      <c r="J100" s="19" t="n">
        <v>3</v>
      </c>
      <c r="K100" s="15" t="inlineStr">
        <is>
          <t>T-U002-02</t>
        </is>
      </c>
      <c r="L100" s="15" t="n"/>
      <c r="M100" s="19" t="inlineStr">
        <is>
          <t>Gestrichen</t>
        </is>
      </c>
      <c r="N100" s="19" t="n"/>
      <c r="O100" s="19" t="n"/>
      <c r="P100" s="15" t="inlineStr">
        <is>
          <t>Nach menschlicher Freigabe</t>
        </is>
      </c>
      <c r="Q100" s="15" t="inlineStr">
        <is>
          <t>Gestrichen</t>
        </is>
      </c>
      <c r="R100" s="15" t="inlineStr">
        <is>
          <t>-</t>
        </is>
      </c>
      <c r="S100" s="15" t="inlineStr">
        <is>
          <t>Gestrichen</t>
        </is>
      </c>
      <c r="T100" s="15" t="inlineStr">
        <is>
          <t>Ursachen einer Beschwerde einzuordnen ist Diagnostik.</t>
        </is>
      </c>
    </row>
    <row r="101" ht="67.5" customHeight="1" s="11">
      <c r="A101" s="16" t="inlineStr">
        <is>
          <t>T-U003-01</t>
        </is>
      </c>
      <c r="B101" s="16" t="inlineStr">
        <is>
          <t>U003</t>
        </is>
      </c>
      <c r="C101" s="16" t="inlineStr">
        <is>
          <t>M4</t>
        </is>
      </c>
      <c r="D101" s="16" t="n">
        <v>98</v>
      </c>
      <c r="E101" s="16" t="inlineStr">
        <is>
          <t>Ereignisse und Beschwerden zeitlich ordnen</t>
        </is>
      </c>
      <c r="F101" s="16" t="inlineStr">
        <is>
          <t>Code</t>
        </is>
      </c>
      <c r="G101" s="19" t="n">
        <v>2</v>
      </c>
      <c r="H101" s="19" t="n">
        <v>1</v>
      </c>
      <c r="I101" s="18">
        <f>(G101+H101)/2</f>
        <v/>
      </c>
      <c r="J101" s="19" t="n">
        <v>3</v>
      </c>
      <c r="K101" s="16" t="inlineStr">
        <is>
          <t>F007, T-U002-03, T-U013-03</t>
        </is>
      </c>
      <c r="L101" s="16" t="inlineStr">
        <is>
          <t>D04</t>
        </is>
      </c>
      <c r="M101" s="19" t="inlineStr">
        <is>
          <t>Gestrichen</t>
        </is>
      </c>
      <c r="N101" s="19" t="n"/>
      <c r="O101" s="19" t="n"/>
      <c r="P101" s="16" t="inlineStr">
        <is>
          <t>Nach menschlicher Freigabe</t>
        </is>
      </c>
      <c r="Q101" s="16" t="inlineStr">
        <is>
          <t>Gestrichen</t>
        </is>
      </c>
      <c r="R101" s="16" t="inlineStr">
        <is>
          <t>-</t>
        </is>
      </c>
      <c r="S101" s="16" t="inlineStr">
        <is>
          <t>Gestrichen</t>
        </is>
      </c>
      <c r="T101" s="16" t="inlineStr">
        <is>
          <t>Zusammenhänge mehrerer Beschwerden zu klären ist Differenzialdiagnostik.</t>
        </is>
      </c>
    </row>
    <row r="102" ht="67.5" customHeight="1" s="11">
      <c r="A102" s="15" t="inlineStr">
        <is>
          <t>T-U003-02</t>
        </is>
      </c>
      <c r="B102" s="15" t="inlineStr">
        <is>
          <t>U003</t>
        </is>
      </c>
      <c r="C102" s="15" t="inlineStr">
        <is>
          <t>M4</t>
        </is>
      </c>
      <c r="D102" s="15" t="n">
        <v>99</v>
      </c>
      <c r="E102" s="15" t="inlineStr">
        <is>
          <t>Unklare Beziehungen abfragen</t>
        </is>
      </c>
      <c r="F102" s="15" t="inlineStr">
        <is>
          <t>Code</t>
        </is>
      </c>
      <c r="G102" s="19" t="n">
        <v>2</v>
      </c>
      <c r="H102" s="19" t="n">
        <v>1</v>
      </c>
      <c r="I102" s="18">
        <f>(G102+H102)/2</f>
        <v/>
      </c>
      <c r="J102" s="19" t="n">
        <v>3</v>
      </c>
      <c r="K102" s="15" t="inlineStr">
        <is>
          <t>T-U003-01</t>
        </is>
      </c>
      <c r="L102" s="15" t="n"/>
      <c r="M102" s="19" t="inlineStr">
        <is>
          <t>Gestrichen</t>
        </is>
      </c>
      <c r="N102" s="19" t="n"/>
      <c r="O102" s="19" t="n"/>
      <c r="P102" s="15" t="inlineStr">
        <is>
          <t>Nach menschlicher Freigabe</t>
        </is>
      </c>
      <c r="Q102" s="15" t="inlineStr">
        <is>
          <t>Gestrichen</t>
        </is>
      </c>
      <c r="R102" s="15" t="inlineStr">
        <is>
          <t>-</t>
        </is>
      </c>
      <c r="S102" s="15" t="inlineStr">
        <is>
          <t>Gestrichen</t>
        </is>
      </c>
      <c r="T102" s="15" t="inlineStr">
        <is>
          <t>Zusammenhänge mehrerer Beschwerden zu klären ist Differenzialdiagnostik.</t>
        </is>
      </c>
    </row>
    <row r="103" ht="67.5" customHeight="1" s="11">
      <c r="A103" s="16" t="inlineStr">
        <is>
          <t>T-U003-03</t>
        </is>
      </c>
      <c r="B103" s="16" t="inlineStr">
        <is>
          <t>U003</t>
        </is>
      </c>
      <c r="C103" s="16" t="inlineStr">
        <is>
          <t>M4</t>
        </is>
      </c>
      <c r="D103" s="16" t="n">
        <v>100</v>
      </c>
      <c r="E103" s="16" t="inlineStr">
        <is>
          <t>Getrennte Einordnung ausgeben</t>
        </is>
      </c>
      <c r="F103" s="16" t="inlineStr">
        <is>
          <t>Code</t>
        </is>
      </c>
      <c r="G103" s="19" t="n">
        <v>2</v>
      </c>
      <c r="H103" s="19" t="n">
        <v>1</v>
      </c>
      <c r="I103" s="18">
        <f>(G103+H103)/2</f>
        <v/>
      </c>
      <c r="J103" s="19" t="n">
        <v>3</v>
      </c>
      <c r="K103" s="16" t="inlineStr">
        <is>
          <t>T-U003-02</t>
        </is>
      </c>
      <c r="L103" s="16" t="n"/>
      <c r="M103" s="19" t="inlineStr">
        <is>
          <t>Gestrichen</t>
        </is>
      </c>
      <c r="N103" s="19" t="n"/>
      <c r="O103" s="19" t="n"/>
      <c r="P103" s="16" t="inlineStr">
        <is>
          <t>Nach menschlicher Freigabe</t>
        </is>
      </c>
      <c r="Q103" s="16" t="inlineStr">
        <is>
          <t>Gestrichen</t>
        </is>
      </c>
      <c r="R103" s="16" t="inlineStr">
        <is>
          <t>-</t>
        </is>
      </c>
      <c r="S103" s="16" t="inlineStr">
        <is>
          <t>Gestrichen</t>
        </is>
      </c>
      <c r="T103" s="16" t="inlineStr">
        <is>
          <t>Zusammenhänge mehrerer Beschwerden zu klären ist Differenzialdiagnostik.</t>
        </is>
      </c>
    </row>
    <row r="104" ht="67.5" customHeight="1" s="11">
      <c r="A104" s="15" t="inlineStr">
        <is>
          <t>T-U003-04</t>
        </is>
      </c>
      <c r="B104" s="15" t="inlineStr">
        <is>
          <t>U003</t>
        </is>
      </c>
      <c r="C104" s="15" t="inlineStr">
        <is>
          <t>M4</t>
        </is>
      </c>
      <c r="D104" s="15" t="n">
        <v>101</v>
      </c>
      <c r="E104" s="15" t="inlineStr">
        <is>
          <t>Mehrdeutige Fälle evaluieren</t>
        </is>
      </c>
      <c r="F104" s="15" t="inlineStr">
        <is>
          <t>Test</t>
        </is>
      </c>
      <c r="G104" s="19" t="n">
        <v>2</v>
      </c>
      <c r="H104" s="19" t="n">
        <v>1</v>
      </c>
      <c r="I104" s="18">
        <f>(G104+H104)/2</f>
        <v/>
      </c>
      <c r="J104" s="19" t="n">
        <v>3</v>
      </c>
      <c r="K104" s="15" t="inlineStr">
        <is>
          <t>T-U003-03</t>
        </is>
      </c>
      <c r="L104" s="15" t="n"/>
      <c r="M104" s="19" t="inlineStr">
        <is>
          <t>Gestrichen</t>
        </is>
      </c>
      <c r="N104" s="19" t="n"/>
      <c r="O104" s="19" t="n"/>
      <c r="P104" s="15" t="inlineStr">
        <is>
          <t>Unterstützend</t>
        </is>
      </c>
      <c r="Q104" s="15" t="inlineStr">
        <is>
          <t>Gestrichen</t>
        </is>
      </c>
      <c r="R104" s="15" t="inlineStr">
        <is>
          <t>-</t>
        </is>
      </c>
      <c r="S104" s="15" t="inlineStr">
        <is>
          <t>Gestrichen</t>
        </is>
      </c>
      <c r="T104" s="15" t="inlineStr">
        <is>
          <t>Zusammenhänge mehrerer Beschwerden zu klären ist Differenzialdiagnostik.</t>
        </is>
      </c>
    </row>
    <row r="105" ht="67.5" customHeight="1" s="11">
      <c r="A105" s="16" t="inlineStr">
        <is>
          <t>T-U008-01</t>
        </is>
      </c>
      <c r="B105" s="16" t="inlineStr">
        <is>
          <t>U008</t>
        </is>
      </c>
      <c r="C105" s="16" t="inlineStr">
        <is>
          <t>M4</t>
        </is>
      </c>
      <c r="D105" s="16" t="n">
        <v>102</v>
      </c>
      <c r="E105" s="16" t="inlineStr">
        <is>
          <t>Vorsorge-Thema allgemein begrenzen</t>
        </is>
      </c>
      <c r="F105" s="16" t="inlineStr">
        <is>
          <t>Research</t>
        </is>
      </c>
      <c r="G105" s="19" t="n">
        <v>1</v>
      </c>
      <c r="H105" s="19" t="n">
        <v>3</v>
      </c>
      <c r="I105" s="18">
        <f>(G105+H105)/2</f>
        <v/>
      </c>
      <c r="J105" s="19" t="n">
        <v>2</v>
      </c>
      <c r="K105" s="16" t="inlineStr">
        <is>
          <t>F007, T-U001-05, T-U009-04, F014</t>
        </is>
      </c>
      <c r="L105" s="16" t="inlineStr">
        <is>
          <t>D04</t>
        </is>
      </c>
      <c r="M105" s="19" t="inlineStr">
        <is>
          <t>Offen</t>
        </is>
      </c>
      <c r="N105" s="19" t="n"/>
      <c r="O105" s="19" t="n"/>
      <c r="P105" s="16" t="inlineStr">
        <is>
          <t>Unterstützend</t>
        </is>
      </c>
      <c r="Q105" s="16" t="inlineStr">
        <is>
          <t>Kern</t>
        </is>
      </c>
      <c r="R105" s="16" t="inlineStr">
        <is>
          <t>knowledge</t>
        </is>
      </c>
      <c r="S105" s="16" t="inlineStr">
        <is>
          <t>Umgebaut</t>
        </is>
      </c>
      <c r="T105" s="16" t="inlineStr">
        <is>
          <t>Nur allgemeine Information.</t>
        </is>
      </c>
    </row>
    <row r="106" ht="67.5" customHeight="1" s="11">
      <c r="A106" s="15" t="inlineStr">
        <is>
          <t>T-U008-02</t>
        </is>
      </c>
      <c r="B106" s="15" t="inlineStr">
        <is>
          <t>U008</t>
        </is>
      </c>
      <c r="C106" s="15" t="inlineStr">
        <is>
          <t>M4</t>
        </is>
      </c>
      <c r="D106" s="15" t="n">
        <v>103</v>
      </c>
      <c r="E106" s="15" t="inlineStr">
        <is>
          <t>Vorsorgefragen und Beschwerden unterscheiden</t>
        </is>
      </c>
      <c r="F106" s="15" t="inlineStr">
        <is>
          <t>Code</t>
        </is>
      </c>
      <c r="G106" s="19" t="n">
        <v>2</v>
      </c>
      <c r="H106" s="19" t="n">
        <v>1</v>
      </c>
      <c r="I106" s="18">
        <f>(G106+H106)/2</f>
        <v/>
      </c>
      <c r="J106" s="19" t="n">
        <v>3</v>
      </c>
      <c r="K106" s="15" t="inlineStr">
        <is>
          <t>T-U008-01</t>
        </is>
      </c>
      <c r="L106" s="15" t="n"/>
      <c r="M106" s="19" t="inlineStr">
        <is>
          <t>Offen</t>
        </is>
      </c>
      <c r="N106" s="19" t="n"/>
      <c r="O106" s="19" t="n"/>
      <c r="P106" s="15" t="inlineStr">
        <is>
          <t>Nach menschlicher Freigabe</t>
        </is>
      </c>
      <c r="Q106" s="15" t="inlineStr">
        <is>
          <t>Kern</t>
        </is>
      </c>
      <c r="R106" s="15" t="inlineStr">
        <is>
          <t>features/guidance</t>
        </is>
      </c>
      <c r="S106" s="15" t="inlineStr">
        <is>
          <t>Umgebaut</t>
        </is>
      </c>
      <c r="T106" s="15" t="inlineStr">
        <is>
          <t>Kein Dringlichkeitspfad mehr.</t>
        </is>
      </c>
    </row>
    <row r="107" ht="67.5" customHeight="1" s="11">
      <c r="A107" s="16" t="inlineStr">
        <is>
          <t>T-U008-03</t>
        </is>
      </c>
      <c r="B107" s="16" t="inlineStr">
        <is>
          <t>U008</t>
        </is>
      </c>
      <c r="C107" s="16" t="inlineStr">
        <is>
          <t>M4</t>
        </is>
      </c>
      <c r="D107" s="16" t="n">
        <v>104</v>
      </c>
      <c r="E107" s="16" t="inlineStr">
        <is>
          <t>Allgemeine Vorsorgeangebote erklären</t>
        </is>
      </c>
      <c r="F107" s="16" t="inlineStr">
        <is>
          <t>Code</t>
        </is>
      </c>
      <c r="G107" s="19" t="n">
        <v>2</v>
      </c>
      <c r="H107" s="19" t="n">
        <v>1</v>
      </c>
      <c r="I107" s="18">
        <f>(G107+H107)/2</f>
        <v/>
      </c>
      <c r="J107" s="19" t="n">
        <v>3</v>
      </c>
      <c r="K107" s="16" t="inlineStr">
        <is>
          <t>T-U008-02</t>
        </is>
      </c>
      <c r="L107" s="16" t="n"/>
      <c r="M107" s="19" t="inlineStr">
        <is>
          <t>Offen</t>
        </is>
      </c>
      <c r="N107" s="19" t="n"/>
      <c r="O107" s="19" t="n"/>
      <c r="P107" s="16" t="inlineStr">
        <is>
          <t>Nach menschlicher Freigabe</t>
        </is>
      </c>
      <c r="Q107" s="16" t="inlineStr">
        <is>
          <t>Kern</t>
        </is>
      </c>
      <c r="R107" s="16" t="inlineStr">
        <is>
          <t>features/guidance</t>
        </is>
      </c>
      <c r="S107" s="16" t="inlineStr">
        <is>
          <t>Umgebaut</t>
        </is>
      </c>
      <c r="T107" s="16" t="inlineStr">
        <is>
          <t>Individuelle Empfehlung gestrichen.</t>
        </is>
      </c>
    </row>
    <row r="108" ht="67.5" customHeight="1" s="11">
      <c r="A108" s="15" t="inlineStr">
        <is>
          <t>T-U018-01</t>
        </is>
      </c>
      <c r="B108" s="15" t="inlineStr">
        <is>
          <t>U018</t>
        </is>
      </c>
      <c r="C108" s="15" t="inlineStr">
        <is>
          <t>M4</t>
        </is>
      </c>
      <c r="D108" s="15" t="n">
        <v>105</v>
      </c>
      <c r="E108" s="15" t="inlineStr">
        <is>
          <t>Medikationsangabe modellieren</t>
        </is>
      </c>
      <c r="F108" s="15" t="inlineStr">
        <is>
          <t>Code</t>
        </is>
      </c>
      <c r="G108" s="19" t="n">
        <v>2</v>
      </c>
      <c r="H108" s="19" t="n">
        <v>1</v>
      </c>
      <c r="I108" s="18">
        <f>(G108+H108)/2</f>
        <v/>
      </c>
      <c r="J108" s="19" t="n">
        <v>3</v>
      </c>
      <c r="K108" s="15" t="inlineStr">
        <is>
          <t>F007, T-U019-04, T-U025-03</t>
        </is>
      </c>
      <c r="L108" s="15" t="inlineStr">
        <is>
          <t>D04</t>
        </is>
      </c>
      <c r="M108" s="19" t="inlineStr">
        <is>
          <t>Gestrichen</t>
        </is>
      </c>
      <c r="N108" s="19" t="n"/>
      <c r="O108" s="19" t="n"/>
      <c r="P108" s="15" t="inlineStr">
        <is>
          <t>Nach menschlicher Freigabe</t>
        </is>
      </c>
      <c r="Q108" s="15" t="inlineStr">
        <is>
          <t>Gestrichen</t>
        </is>
      </c>
      <c r="R108" s="15" t="inlineStr">
        <is>
          <t>-</t>
        </is>
      </c>
      <c r="S108" s="15" t="inlineStr">
        <is>
          <t>Gestrichen</t>
        </is>
      </c>
      <c r="T108" s="15" t="inlineStr">
        <is>
          <t>Medikation als Kontext ohne Auswertung bringt keinen Nutzen; Auswertung wäre Medizinprodukt-Funktion.</t>
        </is>
      </c>
    </row>
    <row r="109" ht="67.5" customHeight="1" s="11">
      <c r="A109" s="16" t="inlineStr">
        <is>
          <t>T-U018-02</t>
        </is>
      </c>
      <c r="B109" s="16" t="inlineStr">
        <is>
          <t>U018</t>
        </is>
      </c>
      <c r="C109" s="16" t="inlineStr">
        <is>
          <t>M4</t>
        </is>
      </c>
      <c r="D109" s="16" t="n">
        <v>106</v>
      </c>
      <c r="E109" s="16" t="inlineStr">
        <is>
          <t>Eingabe bestätigen lassen</t>
        </is>
      </c>
      <c r="F109" s="16" t="inlineStr">
        <is>
          <t>Code</t>
        </is>
      </c>
      <c r="G109" s="19" t="n">
        <v>2</v>
      </c>
      <c r="H109" s="19" t="n">
        <v>1</v>
      </c>
      <c r="I109" s="18">
        <f>(G109+H109)/2</f>
        <v/>
      </c>
      <c r="J109" s="19" t="n">
        <v>3</v>
      </c>
      <c r="K109" s="16" t="inlineStr">
        <is>
          <t>T-U018-01</t>
        </is>
      </c>
      <c r="L109" s="16" t="n"/>
      <c r="M109" s="19" t="inlineStr">
        <is>
          <t>Gestrichen</t>
        </is>
      </c>
      <c r="N109" s="19" t="n"/>
      <c r="O109" s="19" t="n"/>
      <c r="P109" s="16" t="inlineStr">
        <is>
          <t>Nach menschlicher Freigabe</t>
        </is>
      </c>
      <c r="Q109" s="16" t="inlineStr">
        <is>
          <t>Gestrichen</t>
        </is>
      </c>
      <c r="R109" s="16" t="inlineStr">
        <is>
          <t>-</t>
        </is>
      </c>
      <c r="S109" s="16" t="inlineStr">
        <is>
          <t>Gestrichen</t>
        </is>
      </c>
      <c r="T109" s="16" t="inlineStr">
        <is>
          <t>Medikation als Kontext ohne Auswertung bringt keinen Nutzen; Auswertung wäre Medizinprodukt-Funktion.</t>
        </is>
      </c>
    </row>
    <row r="110" ht="67.5" customHeight="1" s="11">
      <c r="A110" s="15" t="inlineStr">
        <is>
          <t>T-U018-03</t>
        </is>
      </c>
      <c r="B110" s="15" t="inlineStr">
        <is>
          <t>U018</t>
        </is>
      </c>
      <c r="C110" s="15" t="inlineStr">
        <is>
          <t>M4</t>
        </is>
      </c>
      <c r="D110" s="15" t="n">
        <v>107</v>
      </c>
      <c r="E110" s="15" t="inlineStr">
        <is>
          <t>Medikation im Gesprächskontext verwenden</t>
        </is>
      </c>
      <c r="F110" s="15" t="inlineStr">
        <is>
          <t>Code</t>
        </is>
      </c>
      <c r="G110" s="19" t="n">
        <v>2</v>
      </c>
      <c r="H110" s="19" t="n">
        <v>1</v>
      </c>
      <c r="I110" s="18">
        <f>(G110+H110)/2</f>
        <v/>
      </c>
      <c r="J110" s="19" t="n">
        <v>3</v>
      </c>
      <c r="K110" s="15" t="inlineStr">
        <is>
          <t>T-U018-02</t>
        </is>
      </c>
      <c r="L110" s="15" t="n"/>
      <c r="M110" s="19" t="inlineStr">
        <is>
          <t>Gestrichen</t>
        </is>
      </c>
      <c r="N110" s="19" t="n"/>
      <c r="O110" s="19" t="n"/>
      <c r="P110" s="15" t="inlineStr">
        <is>
          <t>Nach menschlicher Freigabe</t>
        </is>
      </c>
      <c r="Q110" s="15" t="inlineStr">
        <is>
          <t>Gestrichen</t>
        </is>
      </c>
      <c r="R110" s="15" t="inlineStr">
        <is>
          <t>-</t>
        </is>
      </c>
      <c r="S110" s="15" t="inlineStr">
        <is>
          <t>Gestrichen</t>
        </is>
      </c>
      <c r="T110" s="15" t="inlineStr">
        <is>
          <t>Medikation als Kontext ohne Auswertung bringt keinen Nutzen; Auswertung wäre Medizinprodukt-Funktion.</t>
        </is>
      </c>
    </row>
    <row r="111" ht="67.5" customHeight="1" s="11">
      <c r="A111" s="16" t="inlineStr">
        <is>
          <t>T-U020-01</t>
        </is>
      </c>
      <c r="B111" s="16" t="inlineStr">
        <is>
          <t>U020</t>
        </is>
      </c>
      <c r="C111" s="16" t="inlineStr">
        <is>
          <t>M4</t>
        </is>
      </c>
      <c r="D111" s="16" t="n">
        <v>108</v>
      </c>
      <c r="E111" s="16" t="inlineStr">
        <is>
          <t>Symptomeintrag-Vertrag festlegen</t>
        </is>
      </c>
      <c r="F111" s="16" t="inlineStr">
        <is>
          <t>Research</t>
        </is>
      </c>
      <c r="G111" s="19" t="n">
        <v>1</v>
      </c>
      <c r="H111" s="19" t="n">
        <v>3</v>
      </c>
      <c r="I111" s="18">
        <f>(G111+H111)/2</f>
        <v/>
      </c>
      <c r="J111" s="19" t="n">
        <v>2</v>
      </c>
      <c r="K111" s="16" t="inlineStr">
        <is>
          <t>F007, T-U019-04</t>
        </is>
      </c>
      <c r="L111" s="16" t="inlineStr">
        <is>
          <t>D06</t>
        </is>
      </c>
      <c r="M111" s="19" t="inlineStr">
        <is>
          <t>Offen</t>
        </is>
      </c>
      <c r="N111" s="19" t="n"/>
      <c r="O111" s="19" t="n"/>
      <c r="P111" s="16" t="inlineStr">
        <is>
          <t>Unterstützend</t>
        </is>
      </c>
      <c r="Q111" s="16" t="inlineStr">
        <is>
          <t>Optional</t>
        </is>
      </c>
      <c r="R111" s="16" t="inlineStr">
        <is>
          <t>features/health_data</t>
        </is>
      </c>
      <c r="S111" s="16" t="inlineStr">
        <is>
          <t>Erlaubt</t>
        </is>
      </c>
      <c r="T111" s="16" t="n"/>
    </row>
    <row r="112" ht="67.5" customHeight="1" s="11">
      <c r="A112" s="15" t="inlineStr">
        <is>
          <t>T-U020-02</t>
        </is>
      </c>
      <c r="B112" s="15" t="inlineStr">
        <is>
          <t>U020</t>
        </is>
      </c>
      <c r="C112" s="15" t="inlineStr">
        <is>
          <t>M4</t>
        </is>
      </c>
      <c r="D112" s="15" t="n">
        <v>109</v>
      </c>
      <c r="E112" s="15" t="inlineStr">
        <is>
          <t>Eigene Einträge speichern und korrigieren</t>
        </is>
      </c>
      <c r="F112" s="15" t="inlineStr">
        <is>
          <t>Code</t>
        </is>
      </c>
      <c r="G112" s="19" t="n">
        <v>2</v>
      </c>
      <c r="H112" s="19" t="n">
        <v>1</v>
      </c>
      <c r="I112" s="18">
        <f>(G112+H112)/2</f>
        <v/>
      </c>
      <c r="J112" s="19" t="n">
        <v>3</v>
      </c>
      <c r="K112" s="15" t="inlineStr">
        <is>
          <t>T-U020-01</t>
        </is>
      </c>
      <c r="L112" s="15" t="n"/>
      <c r="M112" s="19" t="inlineStr">
        <is>
          <t>Offen</t>
        </is>
      </c>
      <c r="N112" s="19" t="n"/>
      <c r="O112" s="19" t="n"/>
      <c r="P112" s="15" t="inlineStr">
        <is>
          <t>Nach menschlicher Freigabe</t>
        </is>
      </c>
      <c r="Q112" s="15" t="inlineStr">
        <is>
          <t>Optional</t>
        </is>
      </c>
      <c r="R112" s="15" t="inlineStr">
        <is>
          <t>features/health_data</t>
        </is>
      </c>
      <c r="S112" s="15" t="inlineStr">
        <is>
          <t>Erlaubt</t>
        </is>
      </c>
      <c r="T112" s="15" t="n"/>
    </row>
    <row r="113" ht="67.5" customHeight="1" s="11">
      <c r="A113" s="16" t="inlineStr">
        <is>
          <t>T-U020-03</t>
        </is>
      </c>
      <c r="B113" s="16" t="inlineStr">
        <is>
          <t>U020</t>
        </is>
      </c>
      <c r="C113" s="16" t="inlineStr">
        <is>
          <t>M4</t>
        </is>
      </c>
      <c r="D113" s="16" t="n">
        <v>110</v>
      </c>
      <c r="E113" s="16" t="inlineStr">
        <is>
          <t>Verlaufsliste mit Zeitraum bauen</t>
        </is>
      </c>
      <c r="F113" s="16" t="inlineStr">
        <is>
          <t>Code</t>
        </is>
      </c>
      <c r="G113" s="19" t="n">
        <v>2</v>
      </c>
      <c r="H113" s="19" t="n">
        <v>1</v>
      </c>
      <c r="I113" s="18">
        <f>(G113+H113)/2</f>
        <v/>
      </c>
      <c r="J113" s="19" t="n">
        <v>3</v>
      </c>
      <c r="K113" s="16" t="inlineStr">
        <is>
          <t>T-U020-02</t>
        </is>
      </c>
      <c r="L113" s="16" t="n"/>
      <c r="M113" s="19" t="inlineStr">
        <is>
          <t>Offen</t>
        </is>
      </c>
      <c r="N113" s="19" t="n"/>
      <c r="O113" s="19" t="n"/>
      <c r="P113" s="16" t="inlineStr">
        <is>
          <t>Nach menschlicher Freigabe</t>
        </is>
      </c>
      <c r="Q113" s="16" t="inlineStr">
        <is>
          <t>Optional</t>
        </is>
      </c>
      <c r="R113" s="16" t="inlineStr">
        <is>
          <t>apps/web</t>
        </is>
      </c>
      <c r="S113" s="16" t="inlineStr">
        <is>
          <t>Erlaubt</t>
        </is>
      </c>
      <c r="T113" s="16" t="n"/>
    </row>
    <row r="114" ht="67.5" customHeight="1" s="11">
      <c r="A114" s="15" t="inlineStr">
        <is>
          <t>T-U020-04</t>
        </is>
      </c>
      <c r="B114" s="15" t="inlineStr">
        <is>
          <t>U020</t>
        </is>
      </c>
      <c r="C114" s="15" t="inlineStr">
        <is>
          <t>M4</t>
        </is>
      </c>
      <c r="D114" s="15" t="n">
        <v>111</v>
      </c>
      <c r="E114" s="15" t="inlineStr">
        <is>
          <t>Verlauf in Löschung und Freigabe integrieren</t>
        </is>
      </c>
      <c r="F114" s="15" t="inlineStr">
        <is>
          <t>Code</t>
        </is>
      </c>
      <c r="G114" s="19" t="n">
        <v>2</v>
      </c>
      <c r="H114" s="19" t="n">
        <v>1</v>
      </c>
      <c r="I114" s="18">
        <f>(G114+H114)/2</f>
        <v/>
      </c>
      <c r="J114" s="19" t="n">
        <v>3</v>
      </c>
      <c r="K114" s="15" t="inlineStr">
        <is>
          <t>T-U020-03</t>
        </is>
      </c>
      <c r="L114" s="15" t="n"/>
      <c r="M114" s="19" t="inlineStr">
        <is>
          <t>Offen</t>
        </is>
      </c>
      <c r="N114" s="19" t="n"/>
      <c r="O114" s="19" t="n"/>
      <c r="P114" s="15" t="inlineStr">
        <is>
          <t>Nach menschlicher Freigabe</t>
        </is>
      </c>
      <c r="Q114" s="15" t="inlineStr">
        <is>
          <t>Optional</t>
        </is>
      </c>
      <c r="R114" s="15" t="inlineStr">
        <is>
          <t>apps/web</t>
        </is>
      </c>
      <c r="S114" s="15" t="inlineStr">
        <is>
          <t>Erlaubt</t>
        </is>
      </c>
      <c r="T114" s="15" t="n"/>
    </row>
    <row r="115" ht="67.5" customHeight="1" s="11">
      <c r="A115" s="16" t="inlineStr">
        <is>
          <t>T-U016-01</t>
        </is>
      </c>
      <c r="B115" s="16" t="inlineStr">
        <is>
          <t>U016</t>
        </is>
      </c>
      <c r="C115" s="16" t="inlineStr">
        <is>
          <t>M4</t>
        </is>
      </c>
      <c r="D115" s="16" t="n">
        <v>112</v>
      </c>
      <c r="E115" s="16" t="inlineStr">
        <is>
          <t>Erinnerungsregel definieren</t>
        </is>
      </c>
      <c r="F115" s="16" t="inlineStr">
        <is>
          <t>Research</t>
        </is>
      </c>
      <c r="G115" s="19" t="n">
        <v>1</v>
      </c>
      <c r="H115" s="19" t="n">
        <v>3</v>
      </c>
      <c r="I115" s="18">
        <f>(G115+H115)/2</f>
        <v/>
      </c>
      <c r="J115" s="19" t="n">
        <v>2</v>
      </c>
      <c r="K115" s="16" t="inlineStr">
        <is>
          <t>F007, T-U020-04</t>
        </is>
      </c>
      <c r="L115" s="16" t="inlineStr">
        <is>
          <t>D06</t>
        </is>
      </c>
      <c r="M115" s="19" t="inlineStr">
        <is>
          <t>Offen</t>
        </is>
      </c>
      <c r="N115" s="19" t="n"/>
      <c r="O115" s="19" t="n"/>
      <c r="P115" s="16" t="inlineStr">
        <is>
          <t>Unterstützend</t>
        </is>
      </c>
      <c r="Q115" s="16" t="inlineStr">
        <is>
          <t>Optional</t>
        </is>
      </c>
      <c r="R115" s="16" t="inlineStr">
        <is>
          <t>features/reminders (neu)</t>
        </is>
      </c>
      <c r="S115" s="16" t="inlineStr">
        <is>
          <t>Erlaubt</t>
        </is>
      </c>
      <c r="T115" s="16" t="n"/>
    </row>
    <row r="116" ht="67.5" customHeight="1" s="11">
      <c r="A116" s="15" t="inlineStr">
        <is>
          <t>T-U016-02</t>
        </is>
      </c>
      <c r="B116" s="15" t="inlineStr">
        <is>
          <t>U016</t>
        </is>
      </c>
      <c r="C116" s="15" t="inlineStr">
        <is>
          <t>M4</t>
        </is>
      </c>
      <c r="D116" s="15" t="n">
        <v>113</v>
      </c>
      <c r="E116" s="15" t="inlineStr">
        <is>
          <t>Regeln verwalten und Fälligkeit berechnen</t>
        </is>
      </c>
      <c r="F116" s="15" t="inlineStr">
        <is>
          <t>Code</t>
        </is>
      </c>
      <c r="G116" s="19" t="n">
        <v>2</v>
      </c>
      <c r="H116" s="19" t="n">
        <v>1</v>
      </c>
      <c r="I116" s="18">
        <f>(G116+H116)/2</f>
        <v/>
      </c>
      <c r="J116" s="19" t="n">
        <v>3</v>
      </c>
      <c r="K116" s="15" t="inlineStr">
        <is>
          <t>T-U016-01</t>
        </is>
      </c>
      <c r="L116" s="15" t="n"/>
      <c r="M116" s="19" t="inlineStr">
        <is>
          <t>Offen</t>
        </is>
      </c>
      <c r="N116" s="19" t="n"/>
      <c r="O116" s="19" t="n"/>
      <c r="P116" s="15" t="inlineStr">
        <is>
          <t>Nach menschlicher Freigabe</t>
        </is>
      </c>
      <c r="Q116" s="15" t="inlineStr">
        <is>
          <t>Optional</t>
        </is>
      </c>
      <c r="R116" s="15" t="inlineStr">
        <is>
          <t>features/reminders (neu)</t>
        </is>
      </c>
      <c r="S116" s="15" t="inlineStr">
        <is>
          <t>Erlaubt</t>
        </is>
      </c>
      <c r="T116" s="15" t="n"/>
    </row>
    <row r="117" ht="67.5" customHeight="1" s="11">
      <c r="A117" s="16" t="inlineStr">
        <is>
          <t>T-U016-03</t>
        </is>
      </c>
      <c r="B117" s="16" t="inlineStr">
        <is>
          <t>U016</t>
        </is>
      </c>
      <c r="C117" s="16" t="inlineStr">
        <is>
          <t>M4</t>
        </is>
      </c>
      <c r="D117" s="16" t="n">
        <v>114</v>
      </c>
      <c r="E117" s="16" t="inlineStr">
        <is>
          <t>Erinnerung im UI anzeigen</t>
        </is>
      </c>
      <c r="F117" s="16" t="inlineStr">
        <is>
          <t>Code</t>
        </is>
      </c>
      <c r="G117" s="19" t="n">
        <v>2</v>
      </c>
      <c r="H117" s="19" t="n">
        <v>1</v>
      </c>
      <c r="I117" s="18">
        <f>(G117+H117)/2</f>
        <v/>
      </c>
      <c r="J117" s="19" t="n">
        <v>3</v>
      </c>
      <c r="K117" s="16" t="inlineStr">
        <is>
          <t>T-U016-02</t>
        </is>
      </c>
      <c r="L117" s="16" t="n"/>
      <c r="M117" s="19" t="inlineStr">
        <is>
          <t>Offen</t>
        </is>
      </c>
      <c r="N117" s="19" t="n"/>
      <c r="O117" s="19" t="n"/>
      <c r="P117" s="16" t="inlineStr">
        <is>
          <t>Nach menschlicher Freigabe</t>
        </is>
      </c>
      <c r="Q117" s="16" t="inlineStr">
        <is>
          <t>Optional</t>
        </is>
      </c>
      <c r="R117" s="16" t="inlineStr">
        <is>
          <t>apps/web</t>
        </is>
      </c>
      <c r="S117" s="16" t="inlineStr">
        <is>
          <t>Erlaubt</t>
        </is>
      </c>
      <c r="T117" s="16" t="n"/>
    </row>
    <row r="118" ht="67.5" customHeight="1" s="11">
      <c r="A118" s="15" t="inlineStr">
        <is>
          <t>T-U030-01</t>
        </is>
      </c>
      <c r="B118" s="15" t="inlineStr">
        <is>
          <t>U030</t>
        </is>
      </c>
      <c r="C118" s="15" t="inlineStr">
        <is>
          <t>M4</t>
        </is>
      </c>
      <c r="D118" s="15" t="n">
        <v>115</v>
      </c>
      <c r="E118" s="15" t="inlineStr">
        <is>
          <t>Allgemeines Ernährungsthema prüfen</t>
        </is>
      </c>
      <c r="F118" s="15" t="inlineStr">
        <is>
          <t>Research</t>
        </is>
      </c>
      <c r="G118" s="19" t="n">
        <v>1</v>
      </c>
      <c r="H118" s="19" t="n">
        <v>3</v>
      </c>
      <c r="I118" s="18">
        <f>(G118+H118)/2</f>
        <v/>
      </c>
      <c r="J118" s="19" t="n">
        <v>2</v>
      </c>
      <c r="K118" s="15" t="inlineStr">
        <is>
          <t>F007, T-U006-05, F014</t>
        </is>
      </c>
      <c r="L118" s="15" t="inlineStr">
        <is>
          <t>D04, D08</t>
        </is>
      </c>
      <c r="M118" s="19" t="inlineStr">
        <is>
          <t>Offen</t>
        </is>
      </c>
      <c r="N118" s="19" t="n"/>
      <c r="O118" s="19" t="n"/>
      <c r="P118" s="15" t="inlineStr">
        <is>
          <t>Unterstützend</t>
        </is>
      </c>
      <c r="Q118" s="15" t="inlineStr">
        <is>
          <t>Optional</t>
        </is>
      </c>
      <c r="R118" s="15" t="inlineStr">
        <is>
          <t>knowledge</t>
        </is>
      </c>
      <c r="S118" s="15" t="inlineStr">
        <is>
          <t>Umgebaut</t>
        </is>
      </c>
      <c r="T118" s="15" t="inlineStr">
        <is>
          <t>Vorerkrankungen und Allergien als Bewertungskontext entfernt.</t>
        </is>
      </c>
    </row>
    <row r="119" ht="67.5" customHeight="1" s="11">
      <c r="A119" s="16" t="inlineStr">
        <is>
          <t>T-U030-02</t>
        </is>
      </c>
      <c r="B119" s="16" t="inlineStr">
        <is>
          <t>U030</t>
        </is>
      </c>
      <c r="C119" s="16" t="inlineStr">
        <is>
          <t>M4</t>
        </is>
      </c>
      <c r="D119" s="16" t="n">
        <v>116</v>
      </c>
      <c r="E119" s="16" t="inlineStr">
        <is>
          <t>Ernährungsangaben und Ziel strukturieren</t>
        </is>
      </c>
      <c r="F119" s="16" t="inlineStr">
        <is>
          <t>Code</t>
        </is>
      </c>
      <c r="G119" s="19" t="n">
        <v>2</v>
      </c>
      <c r="H119" s="19" t="n">
        <v>1</v>
      </c>
      <c r="I119" s="18">
        <f>(G119+H119)/2</f>
        <v/>
      </c>
      <c r="J119" s="19" t="n">
        <v>3</v>
      </c>
      <c r="K119" s="16" t="inlineStr">
        <is>
          <t>T-U030-01</t>
        </is>
      </c>
      <c r="L119" s="16" t="n"/>
      <c r="M119" s="19" t="inlineStr">
        <is>
          <t>Offen</t>
        </is>
      </c>
      <c r="N119" s="19" t="n"/>
      <c r="O119" s="19" t="n"/>
      <c r="P119" s="16" t="inlineStr">
        <is>
          <t>Nach menschlicher Freigabe</t>
        </is>
      </c>
      <c r="Q119" s="16" t="inlineStr">
        <is>
          <t>Optional</t>
        </is>
      </c>
      <c r="R119" s="16" t="inlineStr">
        <is>
          <t>features/guidance</t>
        </is>
      </c>
      <c r="S119" s="16" t="inlineStr">
        <is>
          <t>Erlaubt</t>
        </is>
      </c>
      <c r="T119" s="16" t="n"/>
    </row>
    <row r="120" ht="67.5" customHeight="1" s="11">
      <c r="A120" s="15" t="inlineStr">
        <is>
          <t>T-U030-03</t>
        </is>
      </c>
      <c r="B120" s="15" t="inlineStr">
        <is>
          <t>U030</t>
        </is>
      </c>
      <c r="C120" s="15" t="inlineStr">
        <is>
          <t>M4</t>
        </is>
      </c>
      <c r="D120" s="15" t="n">
        <v>117</v>
      </c>
      <c r="E120" s="15" t="inlineStr">
        <is>
          <t>Allgemeine Informationen zum Ziel anzeigen</t>
        </is>
      </c>
      <c r="F120" s="15" t="inlineStr">
        <is>
          <t>Code</t>
        </is>
      </c>
      <c r="G120" s="19" t="n">
        <v>2</v>
      </c>
      <c r="H120" s="19" t="n">
        <v>1</v>
      </c>
      <c r="I120" s="18">
        <f>(G120+H120)/2</f>
        <v/>
      </c>
      <c r="J120" s="19" t="n">
        <v>3</v>
      </c>
      <c r="K120" s="15" t="inlineStr">
        <is>
          <t>T-U030-02</t>
        </is>
      </c>
      <c r="L120" s="15" t="n"/>
      <c r="M120" s="19" t="inlineStr">
        <is>
          <t>Offen</t>
        </is>
      </c>
      <c r="N120" s="19" t="n"/>
      <c r="O120" s="19" t="n"/>
      <c r="P120" s="15" t="inlineStr">
        <is>
          <t>Nach menschlicher Freigabe</t>
        </is>
      </c>
      <c r="Q120" s="15" t="inlineStr">
        <is>
          <t>Optional</t>
        </is>
      </c>
      <c r="R120" s="15" t="inlineStr">
        <is>
          <t>apps/web</t>
        </is>
      </c>
      <c r="S120" s="15" t="inlineStr">
        <is>
          <t>Umgebaut</t>
        </is>
      </c>
      <c r="T120" s="15" t="inlineStr">
        <is>
          <t>Individuelle Einordnung gestrichen.</t>
        </is>
      </c>
    </row>
    <row r="121" ht="67.5" customHeight="1" s="11">
      <c r="A121" s="16" t="inlineStr">
        <is>
          <t>T-U031-01</t>
        </is>
      </c>
      <c r="B121" s="16" t="inlineStr">
        <is>
          <t>U031</t>
        </is>
      </c>
      <c r="C121" s="16" t="inlineStr">
        <is>
          <t>M4</t>
        </is>
      </c>
      <c r="D121" s="16" t="n">
        <v>118</v>
      </c>
      <c r="E121" s="16" t="inlineStr">
        <is>
          <t>Kontextregeln für eine Messgröße prüfen</t>
        </is>
      </c>
      <c r="F121" s="16" t="inlineStr">
        <is>
          <t>Research</t>
        </is>
      </c>
      <c r="G121" s="19" t="n">
        <v>1</v>
      </c>
      <c r="H121" s="19" t="n">
        <v>3</v>
      </c>
      <c r="I121" s="18">
        <f>(G121+H121)/2</f>
        <v/>
      </c>
      <c r="J121" s="19" t="n">
        <v>2</v>
      </c>
      <c r="K121" s="16" t="inlineStr">
        <is>
          <t>F007, T-U006-05, T-U019-04, T-U001-05, F014</t>
        </is>
      </c>
      <c r="L121" s="16" t="inlineStr">
        <is>
          <t>D04</t>
        </is>
      </c>
      <c r="M121" s="19" t="inlineStr">
        <is>
          <t>Gestrichen</t>
        </is>
      </c>
      <c r="N121" s="19" t="n"/>
      <c r="O121" s="19" t="n"/>
      <c r="P121" s="16" t="inlineStr">
        <is>
          <t>Unterstützend</t>
        </is>
      </c>
      <c r="Q121" s="16" t="inlineStr">
        <is>
          <t>Gestrichen</t>
        </is>
      </c>
      <c r="R121" s="16" t="inlineStr">
        <is>
          <t>-</t>
        </is>
      </c>
      <c r="S121" s="16" t="inlineStr">
        <is>
          <t>Gestrichen</t>
        </is>
      </c>
      <c r="T121" s="16" t="inlineStr">
        <is>
          <t>Auffällige Werte einer Person mit Vorerkrankungen einzuordnen ist Befundbewertung.</t>
        </is>
      </c>
    </row>
    <row r="122" ht="67.5" customHeight="1" s="11">
      <c r="A122" s="15" t="inlineStr">
        <is>
          <t>T-U031-02</t>
        </is>
      </c>
      <c r="B122" s="15" t="inlineStr">
        <is>
          <t>U031</t>
        </is>
      </c>
      <c r="C122" s="15" t="inlineStr">
        <is>
          <t>M4</t>
        </is>
      </c>
      <c r="D122" s="15" t="n">
        <v>119</v>
      </c>
      <c r="E122" s="15" t="inlineStr">
        <is>
          <t>Ausgangswerte und aktuelle Werte zuordnen</t>
        </is>
      </c>
      <c r="F122" s="15" t="inlineStr">
        <is>
          <t>Code</t>
        </is>
      </c>
      <c r="G122" s="19" t="n">
        <v>2</v>
      </c>
      <c r="H122" s="19" t="n">
        <v>1</v>
      </c>
      <c r="I122" s="18">
        <f>(G122+H122)/2</f>
        <v/>
      </c>
      <c r="J122" s="19" t="n">
        <v>3</v>
      </c>
      <c r="K122" s="15" t="inlineStr">
        <is>
          <t>T-U031-01</t>
        </is>
      </c>
      <c r="L122" s="15" t="n"/>
      <c r="M122" s="19" t="inlineStr">
        <is>
          <t>Gestrichen</t>
        </is>
      </c>
      <c r="N122" s="19" t="n"/>
      <c r="O122" s="19" t="n"/>
      <c r="P122" s="15" t="inlineStr">
        <is>
          <t>Nach menschlicher Freigabe</t>
        </is>
      </c>
      <c r="Q122" s="15" t="inlineStr">
        <is>
          <t>Gestrichen</t>
        </is>
      </c>
      <c r="R122" s="15" t="inlineStr">
        <is>
          <t>-</t>
        </is>
      </c>
      <c r="S122" s="15" t="inlineStr">
        <is>
          <t>Gestrichen</t>
        </is>
      </c>
      <c r="T122" s="15" t="inlineStr">
        <is>
          <t>Auffällige Werte einer Person mit Vorerkrankungen einzuordnen ist Befundbewertung.</t>
        </is>
      </c>
    </row>
    <row r="123" ht="67.5" customHeight="1" s="11">
      <c r="A123" s="16" t="inlineStr">
        <is>
          <t>T-U031-03</t>
        </is>
      </c>
      <c r="B123" s="16" t="inlineStr">
        <is>
          <t>U031</t>
        </is>
      </c>
      <c r="C123" s="16" t="inlineStr">
        <is>
          <t>M4</t>
        </is>
      </c>
      <c r="D123" s="16" t="n">
        <v>120</v>
      </c>
      <c r="E123" s="16" t="inlineStr">
        <is>
          <t>Kontextbezogene Erklärung integrieren</t>
        </is>
      </c>
      <c r="F123" s="16" t="inlineStr">
        <is>
          <t>Code</t>
        </is>
      </c>
      <c r="G123" s="19" t="n">
        <v>2</v>
      </c>
      <c r="H123" s="19" t="n">
        <v>1</v>
      </c>
      <c r="I123" s="18">
        <f>(G123+H123)/2</f>
        <v/>
      </c>
      <c r="J123" s="19" t="n">
        <v>3</v>
      </c>
      <c r="K123" s="16" t="inlineStr">
        <is>
          <t>T-U031-02</t>
        </is>
      </c>
      <c r="L123" s="16" t="n"/>
      <c r="M123" s="19" t="inlineStr">
        <is>
          <t>Gestrichen</t>
        </is>
      </c>
      <c r="N123" s="19" t="n"/>
      <c r="O123" s="19" t="n"/>
      <c r="P123" s="16" t="inlineStr">
        <is>
          <t>Nach menschlicher Freigabe</t>
        </is>
      </c>
      <c r="Q123" s="16" t="inlineStr">
        <is>
          <t>Gestrichen</t>
        </is>
      </c>
      <c r="R123" s="16" t="inlineStr">
        <is>
          <t>-</t>
        </is>
      </c>
      <c r="S123" s="16" t="inlineStr">
        <is>
          <t>Gestrichen</t>
        </is>
      </c>
      <c r="T123" s="16" t="inlineStr">
        <is>
          <t>Auffällige Werte einer Person mit Vorerkrankungen einzuordnen ist Befundbewertung.</t>
        </is>
      </c>
    </row>
    <row r="124" ht="67.5" customHeight="1" s="11">
      <c r="A124" s="15" t="inlineStr">
        <is>
          <t>T-U029-01</t>
        </is>
      </c>
      <c r="B124" s="15" t="inlineStr">
        <is>
          <t>U029</t>
        </is>
      </c>
      <c r="C124" s="15" t="inlineStr">
        <is>
          <t>M4</t>
        </is>
      </c>
      <c r="D124" s="15" t="n">
        <v>121</v>
      </c>
      <c r="E124" s="15" t="inlineStr">
        <is>
          <t>Allgemeines Bewegungsthema begrenzen</t>
        </is>
      </c>
      <c r="F124" s="15" t="inlineStr">
        <is>
          <t>Research</t>
        </is>
      </c>
      <c r="G124" s="19" t="n">
        <v>1</v>
      </c>
      <c r="H124" s="19" t="n">
        <v>3</v>
      </c>
      <c r="I124" s="18">
        <f>(G124+H124)/2</f>
        <v/>
      </c>
      <c r="J124" s="19" t="n">
        <v>2</v>
      </c>
      <c r="K124" s="15" t="inlineStr">
        <is>
          <t>F007, T-U006-05, F014</t>
        </is>
      </c>
      <c r="L124" s="15" t="inlineStr">
        <is>
          <t>D04, D08</t>
        </is>
      </c>
      <c r="M124" s="19" t="inlineStr">
        <is>
          <t>Offen</t>
        </is>
      </c>
      <c r="N124" s="19" t="n"/>
      <c r="O124" s="19" t="n"/>
      <c r="P124" s="15" t="inlineStr">
        <is>
          <t>Unterstützend</t>
        </is>
      </c>
      <c r="Q124" s="15" t="inlineStr">
        <is>
          <t>Optional</t>
        </is>
      </c>
      <c r="R124" s="15" t="inlineStr">
        <is>
          <t>knowledge</t>
        </is>
      </c>
      <c r="S124" s="15" t="inlineStr">
        <is>
          <t>Umgebaut</t>
        </is>
      </c>
      <c r="T124" s="15" t="inlineStr">
        <is>
          <t>Abhängigkeit zu U031 entfernt.</t>
        </is>
      </c>
    </row>
    <row r="125" ht="67.5" customHeight="1" s="11">
      <c r="A125" s="16" t="inlineStr">
        <is>
          <t>T-U029-02</t>
        </is>
      </c>
      <c r="B125" s="16" t="inlineStr">
        <is>
          <t>U029</t>
        </is>
      </c>
      <c r="C125" s="16" t="inlineStr">
        <is>
          <t>M4</t>
        </is>
      </c>
      <c r="D125" s="16" t="n">
        <v>122</v>
      </c>
      <c r="E125" s="16" t="inlineStr">
        <is>
          <t>Trainingsziel und Datenbedarf erfassen</t>
        </is>
      </c>
      <c r="F125" s="16" t="inlineStr">
        <is>
          <t>Code</t>
        </is>
      </c>
      <c r="G125" s="19" t="n">
        <v>2</v>
      </c>
      <c r="H125" s="19" t="n">
        <v>1</v>
      </c>
      <c r="I125" s="18">
        <f>(G125+H125)/2</f>
        <v/>
      </c>
      <c r="J125" s="19" t="n">
        <v>3</v>
      </c>
      <c r="K125" s="16" t="inlineStr">
        <is>
          <t>T-U029-01</t>
        </is>
      </c>
      <c r="L125" s="16" t="n"/>
      <c r="M125" s="19" t="inlineStr">
        <is>
          <t>Offen</t>
        </is>
      </c>
      <c r="N125" s="19" t="n"/>
      <c r="O125" s="19" t="n"/>
      <c r="P125" s="16" t="inlineStr">
        <is>
          <t>Nach menschlicher Freigabe</t>
        </is>
      </c>
      <c r="Q125" s="16" t="inlineStr">
        <is>
          <t>Optional</t>
        </is>
      </c>
      <c r="R125" s="16" t="inlineStr">
        <is>
          <t>features/guidance, features/analysis</t>
        </is>
      </c>
      <c r="S125" s="16" t="inlineStr">
        <is>
          <t>Erlaubt</t>
        </is>
      </c>
      <c r="T125" s="16" t="n"/>
    </row>
    <row r="126" ht="67.5" customHeight="1" s="11">
      <c r="A126" s="15" t="inlineStr">
        <is>
          <t>T-U029-03</t>
        </is>
      </c>
      <c r="B126" s="15" t="inlineStr">
        <is>
          <t>U029</t>
        </is>
      </c>
      <c r="C126" s="15" t="inlineStr">
        <is>
          <t>M4</t>
        </is>
      </c>
      <c r="D126" s="15" t="n">
        <v>123</v>
      </c>
      <c r="E126" s="15" t="inlineStr">
        <is>
          <t>Bewegungsdaten vorsichtig besprechen</t>
        </is>
      </c>
      <c r="F126" s="15" t="inlineStr">
        <is>
          <t>Code</t>
        </is>
      </c>
      <c r="G126" s="19" t="n">
        <v>2</v>
      </c>
      <c r="H126" s="19" t="n">
        <v>1</v>
      </c>
      <c r="I126" s="18">
        <f>(G126+H126)/2</f>
        <v/>
      </c>
      <c r="J126" s="19" t="n">
        <v>3</v>
      </c>
      <c r="K126" s="15" t="inlineStr">
        <is>
          <t>T-U029-02</t>
        </is>
      </c>
      <c r="L126" s="15" t="n"/>
      <c r="M126" s="19" t="inlineStr">
        <is>
          <t>Offen</t>
        </is>
      </c>
      <c r="N126" s="19" t="n"/>
      <c r="O126" s="19" t="n"/>
      <c r="P126" s="15" t="inlineStr">
        <is>
          <t>Nach menschlicher Freigabe</t>
        </is>
      </c>
      <c r="Q126" s="15" t="inlineStr">
        <is>
          <t>Optional</t>
        </is>
      </c>
      <c r="R126" s="15" t="inlineStr">
        <is>
          <t>features/guidance, features/analysis</t>
        </is>
      </c>
      <c r="S126" s="15" t="inlineStr">
        <is>
          <t>Umgebaut</t>
        </is>
      </c>
      <c r="T126" s="15" t="inlineStr">
        <is>
          <t>Vorerkrankungsbezug entfernt.</t>
        </is>
      </c>
    </row>
    <row r="127" ht="67.5" customHeight="1" s="11">
      <c r="A127" s="15" t="inlineStr">
        <is>
          <t>T-U032-01</t>
        </is>
      </c>
      <c r="B127" s="15" t="inlineStr">
        <is>
          <t>U032</t>
        </is>
      </c>
      <c r="C127" s="15" t="inlineStr">
        <is>
          <t>M4</t>
        </is>
      </c>
      <c r="D127" s="15" t="n">
        <v>124</v>
      </c>
      <c r="E127" s="15" t="inlineStr">
        <is>
          <t>Dokumenttypen und Felder festlegen</t>
        </is>
      </c>
      <c r="F127" s="15" t="inlineStr">
        <is>
          <t>Research</t>
        </is>
      </c>
      <c r="G127" s="19" t="n">
        <v>1</v>
      </c>
      <c r="H127" s="19" t="n">
        <v>3</v>
      </c>
      <c r="I127" s="18">
        <f>(G127+H127)/2</f>
        <v/>
      </c>
      <c r="J127" s="19" t="n">
        <v>2</v>
      </c>
      <c r="K127" s="15" t="inlineStr">
        <is>
          <t>T-U022-05, F008</t>
        </is>
      </c>
      <c r="L127" s="15" t="inlineStr">
        <is>
          <t>D03, D08</t>
        </is>
      </c>
      <c r="M127" s="19" t="inlineStr">
        <is>
          <t>Offen</t>
        </is>
      </c>
      <c r="N127" s="19" t="n"/>
      <c r="O127" s="19" t="n"/>
      <c r="P127" s="15" t="inlineStr">
        <is>
          <t>Unterstützend</t>
        </is>
      </c>
      <c r="Q127" s="15" t="inlineStr">
        <is>
          <t>Optional</t>
        </is>
      </c>
      <c r="R127" s="15" t="inlineStr">
        <is>
          <t>contracts/llm, evals</t>
        </is>
      </c>
      <c r="S127" s="15" t="inlineStr">
        <is>
          <t>Neu</t>
        </is>
      </c>
      <c r="T127" s="15" t="inlineStr">
        <is>
          <t>Optionale Datei-/Bildanalyse</t>
        </is>
      </c>
    </row>
    <row r="128" ht="67.5" customHeight="1" s="11">
      <c r="A128" s="15" t="inlineStr">
        <is>
          <t>T-U032-02</t>
        </is>
      </c>
      <c r="B128" s="15" t="inlineStr">
        <is>
          <t>U032</t>
        </is>
      </c>
      <c r="C128" s="15" t="inlineStr">
        <is>
          <t>M4</t>
        </is>
      </c>
      <c r="D128" s="15" t="n">
        <v>125</v>
      </c>
      <c r="E128" s="15" t="inlineStr">
        <is>
          <t>Text aus PDF extrahieren</t>
        </is>
      </c>
      <c r="F128" s="15" t="inlineStr">
        <is>
          <t>Code</t>
        </is>
      </c>
      <c r="G128" s="19" t="n">
        <v>2</v>
      </c>
      <c r="H128" s="19" t="n">
        <v>1</v>
      </c>
      <c r="I128" s="18">
        <f>(G128+H128)/2</f>
        <v/>
      </c>
      <c r="J128" s="19" t="n">
        <v>3</v>
      </c>
      <c r="K128" s="15" t="inlineStr">
        <is>
          <t>T-U032-01</t>
        </is>
      </c>
      <c r="L128" s="15" t="n"/>
      <c r="M128" s="19" t="inlineStr">
        <is>
          <t>Offen</t>
        </is>
      </c>
      <c r="N128" s="19" t="n"/>
      <c r="O128" s="19" t="n"/>
      <c r="P128" s="15" t="inlineStr">
        <is>
          <t>Nach menschlicher Freigabe</t>
        </is>
      </c>
      <c r="Q128" s="15" t="inlineStr">
        <is>
          <t>Optional</t>
        </is>
      </c>
      <c r="R128" s="15" t="inlineStr">
        <is>
          <t>features/documents (neu), adapters/llm</t>
        </is>
      </c>
      <c r="S128" s="15" t="inlineStr">
        <is>
          <t>Neu</t>
        </is>
      </c>
      <c r="T128" s="15" t="inlineStr">
        <is>
          <t>Optionale Datei-/Bildanalyse</t>
        </is>
      </c>
    </row>
    <row r="129" ht="67.5" customHeight="1" s="11">
      <c r="A129" s="15" t="inlineStr">
        <is>
          <t>T-U032-03</t>
        </is>
      </c>
      <c r="B129" s="15" t="inlineStr">
        <is>
          <t>U032</t>
        </is>
      </c>
      <c r="C129" s="15" t="inlineStr">
        <is>
          <t>M4</t>
        </is>
      </c>
      <c r="D129" s="15" t="n">
        <v>126</v>
      </c>
      <c r="E129" s="15" t="inlineStr">
        <is>
          <t>Werte aus Befundbild auslesen</t>
        </is>
      </c>
      <c r="F129" s="15" t="inlineStr">
        <is>
          <t>Code</t>
        </is>
      </c>
      <c r="G129" s="19" t="n">
        <v>3</v>
      </c>
      <c r="H129" s="19" t="n">
        <v>2</v>
      </c>
      <c r="I129" s="18">
        <f>(G129+H129)/2</f>
        <v/>
      </c>
      <c r="J129" s="19" t="n">
        <v>3</v>
      </c>
      <c r="K129" s="15" t="inlineStr">
        <is>
          <t>T-U032-01</t>
        </is>
      </c>
      <c r="L129" s="15" t="inlineStr">
        <is>
          <t>D03</t>
        </is>
      </c>
      <c r="M129" s="19" t="inlineStr">
        <is>
          <t>Offen</t>
        </is>
      </c>
      <c r="N129" s="19" t="n"/>
      <c r="O129" s="19" t="n"/>
      <c r="P129" s="15" t="inlineStr">
        <is>
          <t>Nach menschlicher Freigabe</t>
        </is>
      </c>
      <c r="Q129" s="15" t="inlineStr">
        <is>
          <t>Optional</t>
        </is>
      </c>
      <c r="R129" s="15" t="inlineStr">
        <is>
          <t>features/documents (neu), adapters/llm</t>
        </is>
      </c>
      <c r="S129" s="15" t="inlineStr">
        <is>
          <t>Neu</t>
        </is>
      </c>
      <c r="T129" s="15" t="inlineStr">
        <is>
          <t>Optionale Datei-/Bildanalyse</t>
        </is>
      </c>
    </row>
    <row r="130" ht="67.5" customHeight="1" s="11">
      <c r="A130" s="15" t="inlineStr">
        <is>
          <t>T-U032-04</t>
        </is>
      </c>
      <c r="B130" s="15" t="inlineStr">
        <is>
          <t>U032</t>
        </is>
      </c>
      <c r="C130" s="15" t="inlineStr">
        <is>
          <t>M4</t>
        </is>
      </c>
      <c r="D130" s="15" t="n">
        <v>127</v>
      </c>
      <c r="E130" s="15" t="inlineStr">
        <is>
          <t>Auslesung bestätigen und übernehmen</t>
        </is>
      </c>
      <c r="F130" s="15" t="inlineStr">
        <is>
          <t>Code</t>
        </is>
      </c>
      <c r="G130" s="19" t="n">
        <v>2</v>
      </c>
      <c r="H130" s="19" t="n">
        <v>1</v>
      </c>
      <c r="I130" s="18">
        <f>(G130+H130)/2</f>
        <v/>
      </c>
      <c r="J130" s="19" t="n">
        <v>3</v>
      </c>
      <c r="K130" s="15" t="inlineStr">
        <is>
          <t>T-U032-02, T-U032-03</t>
        </is>
      </c>
      <c r="L130" s="15" t="n"/>
      <c r="M130" s="19" t="inlineStr">
        <is>
          <t>Offen</t>
        </is>
      </c>
      <c r="N130" s="19" t="n"/>
      <c r="O130" s="19" t="n"/>
      <c r="P130" s="15" t="inlineStr">
        <is>
          <t>Nach menschlicher Freigabe</t>
        </is>
      </c>
      <c r="Q130" s="15" t="inlineStr">
        <is>
          <t>Optional</t>
        </is>
      </c>
      <c r="R130" s="15" t="inlineStr">
        <is>
          <t>features/documents (neu), adapters/llm</t>
        </is>
      </c>
      <c r="S130" s="15" t="inlineStr">
        <is>
          <t>Neu</t>
        </is>
      </c>
      <c r="T130" s="15" t="inlineStr">
        <is>
          <t>Optionale Datei-/Bildanalyse</t>
        </is>
      </c>
    </row>
    <row r="131" ht="67.5" customHeight="1" s="11">
      <c r="A131" s="15" t="inlineStr">
        <is>
          <t>T-U032-05</t>
        </is>
      </c>
      <c r="B131" s="15" t="inlineStr">
        <is>
          <t>U032</t>
        </is>
      </c>
      <c r="C131" s="15" t="inlineStr">
        <is>
          <t>M4</t>
        </is>
      </c>
      <c r="D131" s="15" t="n">
        <v>128</v>
      </c>
      <c r="E131" s="15" t="inlineStr">
        <is>
          <t>Auslesequalität messen</t>
        </is>
      </c>
      <c r="F131" s="15" t="inlineStr">
        <is>
          <t>Test</t>
        </is>
      </c>
      <c r="G131" s="19" t="n">
        <v>1</v>
      </c>
      <c r="H131" s="19" t="n">
        <v>2</v>
      </c>
      <c r="I131" s="18">
        <f>(G131+H131)/2</f>
        <v/>
      </c>
      <c r="J131" s="19" t="n">
        <v>2</v>
      </c>
      <c r="K131" s="15" t="inlineStr">
        <is>
          <t>T-U032-04</t>
        </is>
      </c>
      <c r="L131" s="15" t="n"/>
      <c r="M131" s="19" t="inlineStr">
        <is>
          <t>Offen</t>
        </is>
      </c>
      <c r="N131" s="19" t="n"/>
      <c r="O131" s="19" t="n"/>
      <c r="P131" s="15" t="inlineStr">
        <is>
          <t>Unterstützend</t>
        </is>
      </c>
      <c r="Q131" s="15" t="inlineStr">
        <is>
          <t>Optional</t>
        </is>
      </c>
      <c r="R131" s="15" t="inlineStr">
        <is>
          <t>features/documents (neu), adapters/llm</t>
        </is>
      </c>
      <c r="S131" s="15" t="inlineStr">
        <is>
          <t>Neu</t>
        </is>
      </c>
      <c r="T131" s="15" t="inlineStr">
        <is>
          <t>Optionale Datei-/Bildanalyse</t>
        </is>
      </c>
    </row>
    <row r="132" ht="26.85" customHeight="1" s="11">
      <c r="A132" s="15" t="inlineStr">
        <is>
          <t>F016</t>
        </is>
      </c>
      <c r="B132" s="15" t="inlineStr">
        <is>
          <t>BASIS</t>
        </is>
      </c>
      <c r="C132" s="15" t="inlineStr">
        <is>
          <t>M1</t>
        </is>
      </c>
      <c r="D132" s="15" t="n">
        <v>129</v>
      </c>
      <c r="E132" s="15" t="inlineStr">
        <is>
          <t>Datenschutzhinweis und Rechtsgrundlagen festlegen</t>
        </is>
      </c>
      <c r="F132" s="15" t="inlineStr">
        <is>
          <t>Research</t>
        </is>
      </c>
      <c r="G132" s="19" t="n">
        <v>1</v>
      </c>
      <c r="H132" s="19" t="n">
        <v>3</v>
      </c>
      <c r="I132" s="18">
        <f>(G132+H132)/2</f>
        <v/>
      </c>
      <c r="J132" s="19" t="n">
        <v>2</v>
      </c>
      <c r="K132" s="15" t="inlineStr">
        <is>
          <t>F009, T-U027-01</t>
        </is>
      </c>
      <c r="L132" s="15" t="inlineStr">
        <is>
          <t>D05, D09</t>
        </is>
      </c>
      <c r="M132" s="19" t="inlineStr">
        <is>
          <t>Offen</t>
        </is>
      </c>
      <c r="N132" s="19" t="n"/>
      <c r="O132" s="19" t="n"/>
      <c r="P132" s="15" t="inlineStr">
        <is>
          <t>Unterstützend</t>
        </is>
      </c>
      <c r="Q132" s="15" t="inlineStr">
        <is>
          <t>Kern</t>
        </is>
      </c>
      <c r="R132" s="15" t="inlineStr">
        <is>
          <t>docs/compliance, features/consent</t>
        </is>
      </c>
      <c r="S132" s="15" t="inlineStr">
        <is>
          <t>Neu</t>
        </is>
      </c>
      <c r="T132" s="15" t="inlineStr">
        <is>
          <t>Neu nach D09 (EU-Datenschutz/AI Act).</t>
        </is>
      </c>
    </row>
    <row r="133" ht="26.85" customHeight="1" s="11">
      <c r="A133" s="15" t="inlineStr">
        <is>
          <t>F017</t>
        </is>
      </c>
      <c r="B133" s="15" t="inlineStr">
        <is>
          <t>BASIS</t>
        </is>
      </c>
      <c r="C133" s="15" t="inlineStr">
        <is>
          <t>M1</t>
        </is>
      </c>
      <c r="D133" s="15" t="n">
        <v>130</v>
      </c>
      <c r="E133" s="15" t="inlineStr">
        <is>
          <t>Verarbeitungsverzeichnis, DSFA-Schwellwert und Pannenablauf</t>
        </is>
      </c>
      <c r="F133" s="15" t="inlineStr">
        <is>
          <t>Research</t>
        </is>
      </c>
      <c r="G133" s="19" t="n">
        <v>1</v>
      </c>
      <c r="H133" s="19" t="n">
        <v>3</v>
      </c>
      <c r="I133" s="18">
        <f>(G133+H133)/2</f>
        <v/>
      </c>
      <c r="J133" s="19" t="n">
        <v>2</v>
      </c>
      <c r="K133" s="15" t="inlineStr">
        <is>
          <t>F016</t>
        </is>
      </c>
      <c r="L133" s="15" t="inlineStr">
        <is>
          <t>D09</t>
        </is>
      </c>
      <c r="M133" s="19" t="inlineStr">
        <is>
          <t>Offen</t>
        </is>
      </c>
      <c r="N133" s="19" t="n"/>
      <c r="O133" s="19" t="n"/>
      <c r="P133" s="15" t="inlineStr">
        <is>
          <t>Unterstützend</t>
        </is>
      </c>
      <c r="Q133" s="15" t="inlineStr">
        <is>
          <t>Kern</t>
        </is>
      </c>
      <c r="R133" s="15" t="inlineStr">
        <is>
          <t>docs/compliance</t>
        </is>
      </c>
      <c r="S133" s="15" t="inlineStr">
        <is>
          <t>Neu</t>
        </is>
      </c>
      <c r="T133" s="15" t="inlineStr">
        <is>
          <t>Neu nach D09 (EU-Datenschutz/AI Act).</t>
        </is>
      </c>
    </row>
    <row r="134" ht="15" customHeight="1" s="11">
      <c r="A134" s="15" t="inlineStr">
        <is>
          <t>F018</t>
        </is>
      </c>
      <c r="B134" s="15" t="inlineStr">
        <is>
          <t>BASIS</t>
        </is>
      </c>
      <c r="C134" s="15" t="inlineStr">
        <is>
          <t>M1</t>
        </is>
      </c>
      <c r="D134" s="15" t="n">
        <v>131</v>
      </c>
      <c r="E134" s="15" t="inlineStr">
        <is>
          <t>Technische Schutzmaßnahmen umsetzen</t>
        </is>
      </c>
      <c r="F134" s="15" t="inlineStr">
        <is>
          <t>Code</t>
        </is>
      </c>
      <c r="G134" s="19" t="n">
        <v>3</v>
      </c>
      <c r="H134" s="19" t="n">
        <v>2</v>
      </c>
      <c r="I134" s="18">
        <f>(G134+H134)/2</f>
        <v/>
      </c>
      <c r="J134" s="19" t="n">
        <v>3</v>
      </c>
      <c r="K134" s="15" t="inlineStr">
        <is>
          <t>F002, F004, F011</t>
        </is>
      </c>
      <c r="L134" s="15" t="inlineStr">
        <is>
          <t>D05, D06, D09</t>
        </is>
      </c>
      <c r="M134" s="19" t="inlineStr">
        <is>
          <t>Offen</t>
        </is>
      </c>
      <c r="N134" s="19" t="n"/>
      <c r="O134" s="19" t="n"/>
      <c r="P134" s="15" t="inlineStr">
        <is>
          <t>Nach menschlicher Freigabe</t>
        </is>
      </c>
      <c r="Q134" s="15" t="inlineStr">
        <is>
          <t>Kern</t>
        </is>
      </c>
      <c r="R134" s="15" t="inlineStr">
        <is>
          <t>security, infra, .github</t>
        </is>
      </c>
      <c r="S134" s="15" t="inlineStr">
        <is>
          <t>Neu</t>
        </is>
      </c>
      <c r="T134" s="15" t="inlineStr">
        <is>
          <t>Neu nach D09 (EU-Datenschutz/AI Act).</t>
        </is>
      </c>
    </row>
    <row r="135" ht="15" customHeight="1" s="11">
      <c r="A135" s="15" t="inlineStr">
        <is>
          <t>T-U028-03</t>
        </is>
      </c>
      <c r="B135" s="15" t="inlineStr">
        <is>
          <t>U028</t>
        </is>
      </c>
      <c r="C135" s="15" t="inlineStr">
        <is>
          <t>M1</t>
        </is>
      </c>
      <c r="D135" s="15" t="n">
        <v>132</v>
      </c>
      <c r="E135" s="15" t="inlineStr">
        <is>
          <t>KI-Ausgaben maschinenlesbar kennzeichnen</t>
        </is>
      </c>
      <c r="F135" s="15" t="inlineStr">
        <is>
          <t>Code</t>
        </is>
      </c>
      <c r="G135" s="19" t="n">
        <v>1</v>
      </c>
      <c r="H135" s="19" t="n">
        <v>2</v>
      </c>
      <c r="I135" s="18">
        <f>(G135+H135)/2</f>
        <v/>
      </c>
      <c r="J135" s="19" t="n">
        <v>2</v>
      </c>
      <c r="K135" s="15" t="inlineStr">
        <is>
          <t>T-U028-02, F003</t>
        </is>
      </c>
      <c r="L135" s="15" t="inlineStr">
        <is>
          <t>D09</t>
        </is>
      </c>
      <c r="M135" s="19" t="inlineStr">
        <is>
          <t>Offen</t>
        </is>
      </c>
      <c r="N135" s="19" t="n"/>
      <c r="O135" s="19" t="n"/>
      <c r="P135" s="15" t="inlineStr">
        <is>
          <t>Nach menschlicher Freigabe</t>
        </is>
      </c>
      <c r="Q135" s="15" t="inlineStr">
        <is>
          <t>Kern</t>
        </is>
      </c>
      <c r="R135" s="15" t="inlineStr">
        <is>
          <t>contracts/api, api, apps/web</t>
        </is>
      </c>
      <c r="S135" s="15" t="inlineStr">
        <is>
          <t>Neu</t>
        </is>
      </c>
      <c r="T135" s="15" t="inlineStr">
        <is>
          <t>Neu nach D09 (EU-Datenschutz/AI Act).</t>
        </is>
      </c>
    </row>
    <row r="136" ht="15" customHeight="1" s="11">
      <c r="A136" s="15" t="inlineStr">
        <is>
          <t>T-U033-01</t>
        </is>
      </c>
      <c r="B136" s="15" t="inlineStr">
        <is>
          <t>U033</t>
        </is>
      </c>
      <c r="C136" s="15" t="inlineStr">
        <is>
          <t>M2</t>
        </is>
      </c>
      <c r="D136" s="15" t="n">
        <v>133</v>
      </c>
      <c r="E136" s="15" t="inlineStr">
        <is>
          <t>Exportumfang festlegen</t>
        </is>
      </c>
      <c r="F136" s="15" t="inlineStr">
        <is>
          <t>Research</t>
        </is>
      </c>
      <c r="G136" s="19" t="n">
        <v>1</v>
      </c>
      <c r="H136" s="19" t="n">
        <v>2</v>
      </c>
      <c r="I136" s="18">
        <f>(G136+H136)/2</f>
        <v/>
      </c>
      <c r="J136" s="19" t="n">
        <v>2</v>
      </c>
      <c r="K136" s="15" t="inlineStr">
        <is>
          <t>T-U024-01</t>
        </is>
      </c>
      <c r="L136" s="15" t="inlineStr">
        <is>
          <t>D09</t>
        </is>
      </c>
      <c r="M136" s="19" t="inlineStr">
        <is>
          <t>Offen</t>
        </is>
      </c>
      <c r="N136" s="19" t="n"/>
      <c r="O136" s="19" t="n"/>
      <c r="P136" s="15" t="inlineStr">
        <is>
          <t>Unterstützend</t>
        </is>
      </c>
      <c r="Q136" s="15" t="inlineStr">
        <is>
          <t>Kern</t>
        </is>
      </c>
      <c r="R136" s="15" t="inlineStr">
        <is>
          <t>features/consent</t>
        </is>
      </c>
      <c r="S136" s="15" t="inlineStr">
        <is>
          <t>Neu</t>
        </is>
      </c>
      <c r="T136" s="15" t="inlineStr">
        <is>
          <t>Neu nach D09 (EU-Datenschutz/AI Act).</t>
        </is>
      </c>
    </row>
    <row r="137" ht="15" customHeight="1" s="11">
      <c r="A137" s="15" t="inlineStr">
        <is>
          <t>T-U033-02</t>
        </is>
      </c>
      <c r="B137" s="15" t="inlineStr">
        <is>
          <t>U033</t>
        </is>
      </c>
      <c r="C137" s="15" t="inlineStr">
        <is>
          <t>M2</t>
        </is>
      </c>
      <c r="D137" s="15" t="n">
        <v>134</v>
      </c>
      <c r="E137" s="15" t="inlineStr">
        <is>
          <t>Export serverseitig erzeugen</t>
        </is>
      </c>
      <c r="F137" s="15" t="inlineStr">
        <is>
          <t>Code</t>
        </is>
      </c>
      <c r="G137" s="19" t="n">
        <v>2</v>
      </c>
      <c r="H137" s="19" t="n">
        <v>1</v>
      </c>
      <c r="I137" s="18">
        <f>(G137+H137)/2</f>
        <v/>
      </c>
      <c r="J137" s="19" t="n">
        <v>3</v>
      </c>
      <c r="K137" s="15" t="inlineStr">
        <is>
          <t>T-U033-01</t>
        </is>
      </c>
      <c r="L137" s="15" t="n"/>
      <c r="M137" s="19" t="inlineStr">
        <is>
          <t>Offen</t>
        </is>
      </c>
      <c r="N137" s="19" t="n"/>
      <c r="O137" s="19" t="n"/>
      <c r="P137" s="15" t="inlineStr">
        <is>
          <t>Nach menschlicher Freigabe</t>
        </is>
      </c>
      <c r="Q137" s="15" t="inlineStr">
        <is>
          <t>Kern</t>
        </is>
      </c>
      <c r="R137" s="15" t="inlineStr">
        <is>
          <t>features/consent, adapters/db</t>
        </is>
      </c>
      <c r="S137" s="15" t="inlineStr">
        <is>
          <t>Neu</t>
        </is>
      </c>
      <c r="T137" s="15" t="inlineStr">
        <is>
          <t>Neu nach D09 (EU-Datenschutz/AI Act).</t>
        </is>
      </c>
    </row>
    <row r="138" ht="15" customHeight="1" s="11">
      <c r="A138" s="15" t="inlineStr">
        <is>
          <t>T-U033-03</t>
        </is>
      </c>
      <c r="B138" s="15" t="inlineStr">
        <is>
          <t>U033</t>
        </is>
      </c>
      <c r="C138" s="15" t="inlineStr">
        <is>
          <t>M2</t>
        </is>
      </c>
      <c r="D138" s="15" t="n">
        <v>135</v>
      </c>
      <c r="E138" s="15" t="inlineStr">
        <is>
          <t>Export im UI anbieten</t>
        </is>
      </c>
      <c r="F138" s="15" t="inlineStr">
        <is>
          <t>Code</t>
        </is>
      </c>
      <c r="G138" s="19" t="n">
        <v>2</v>
      </c>
      <c r="H138" s="19" t="n">
        <v>1</v>
      </c>
      <c r="I138" s="18">
        <f>(G138+H138)/2</f>
        <v/>
      </c>
      <c r="J138" s="19" t="n">
        <v>2</v>
      </c>
      <c r="K138" s="15" t="inlineStr">
        <is>
          <t>T-U033-02</t>
        </is>
      </c>
      <c r="L138" s="15" t="n"/>
      <c r="M138" s="19" t="inlineStr">
        <is>
          <t>Offen</t>
        </is>
      </c>
      <c r="N138" s="19" t="n"/>
      <c r="O138" s="19" t="n"/>
      <c r="P138" s="15" t="inlineStr">
        <is>
          <t>Nach menschlicher Freigabe</t>
        </is>
      </c>
      <c r="Q138" s="15" t="inlineStr">
        <is>
          <t>Kern</t>
        </is>
      </c>
      <c r="R138" s="15" t="inlineStr">
        <is>
          <t>apps/web</t>
        </is>
      </c>
      <c r="S138" s="15" t="inlineStr">
        <is>
          <t>Neu</t>
        </is>
      </c>
      <c r="T138" s="15" t="inlineStr">
        <is>
          <t>Neu nach D09 (EU-Datenschutz/AI Act).</t>
        </is>
      </c>
    </row>
    <row r="139" ht="15" customHeight="1" s="11">
      <c r="A139" s="15" t="inlineStr">
        <is>
          <t>T-U033-04</t>
        </is>
      </c>
      <c r="B139" s="15" t="inlineStr">
        <is>
          <t>U033</t>
        </is>
      </c>
      <c r="C139" s="15" t="inlineStr">
        <is>
          <t>M2</t>
        </is>
      </c>
      <c r="D139" s="15" t="n">
        <v>136</v>
      </c>
      <c r="E139" s="15" t="inlineStr">
        <is>
          <t>Exportzugriff und Bereinigung prüfen</t>
        </is>
      </c>
      <c r="F139" s="15" t="inlineStr">
        <is>
          <t>Test</t>
        </is>
      </c>
      <c r="G139" s="19" t="n">
        <v>1</v>
      </c>
      <c r="H139" s="19" t="n">
        <v>1</v>
      </c>
      <c r="I139" s="18">
        <f>(G139+H139)/2</f>
        <v/>
      </c>
      <c r="J139" s="19" t="n">
        <v>2</v>
      </c>
      <c r="K139" s="15" t="inlineStr">
        <is>
          <t>T-U033-03</t>
        </is>
      </c>
      <c r="L139" s="15" t="n"/>
      <c r="M139" s="19" t="inlineStr">
        <is>
          <t>Offen</t>
        </is>
      </c>
      <c r="N139" s="19" t="n"/>
      <c r="O139" s="19" t="n"/>
      <c r="P139" s="15" t="inlineStr">
        <is>
          <t>Unterstützend</t>
        </is>
      </c>
      <c r="Q139" s="15" t="inlineStr">
        <is>
          <t>Kern</t>
        </is>
      </c>
      <c r="R139" s="15" t="inlineStr">
        <is>
          <t>features/consent</t>
        </is>
      </c>
      <c r="S139" s="15" t="inlineStr">
        <is>
          <t>Neu</t>
        </is>
      </c>
      <c r="T139" s="15" t="inlineStr">
        <is>
          <t>Neu nach D09 (EU-Datenschutz/AI Act).</t>
        </is>
      </c>
    </row>
    <row r="140" ht="15" customHeight="1" s="11">
      <c r="A140" s="15" t="inlineStr">
        <is>
          <t>T-U017-04</t>
        </is>
      </c>
      <c r="B140" s="15" t="inlineStr">
        <is>
          <t>U017</t>
        </is>
      </c>
      <c r="C140" s="15" t="inlineStr">
        <is>
          <t>M1</t>
        </is>
      </c>
      <c r="D140" s="15" t="n"/>
      <c r="E140" s="15" t="inlineStr">
        <is>
          <t>Englische Fassungen der Fachinhalte zur Prüfung vorbereiten</t>
        </is>
      </c>
      <c r="F140" s="15" t="inlineStr">
        <is>
          <t>Research</t>
        </is>
      </c>
      <c r="G140" s="19" t="n"/>
      <c r="H140" s="19" t="n"/>
      <c r="I140" s="18">
        <f>(G140+H140)/2</f>
        <v/>
      </c>
      <c r="J140" s="19" t="n"/>
      <c r="K140" s="15" t="inlineStr">
        <is>
          <t>T-U009-01, T-U001-01</t>
        </is>
      </c>
      <c r="L140" s="15" t="inlineStr">
        <is>
          <t>D07</t>
        </is>
      </c>
      <c r="M140" s="19" t="inlineStr">
        <is>
          <t>Offen</t>
        </is>
      </c>
      <c r="N140" s="19" t="n"/>
      <c r="O140" s="19" t="n"/>
      <c r="P140" s="15" t="inlineStr">
        <is>
          <t>Unterstützend</t>
        </is>
      </c>
      <c r="Q140" s="15" t="inlineStr">
        <is>
          <t>Kern</t>
        </is>
      </c>
      <c r="R140" s="15" t="inlineStr">
        <is>
          <t>knowledge</t>
        </is>
      </c>
      <c r="S140" s="15" t="inlineStr">
        <is>
          <t>Erlaubt</t>
        </is>
      </c>
      <c r="T140" s="15" t="inlineStr">
        <is>
          <t>Neu nach Entscheidung DE/EN 14.10.2026</t>
        </is>
      </c>
    </row>
    <row r="141" ht="15" customHeight="1" s="11">
      <c r="A141" s="15" t="inlineStr">
        <is>
          <t>DOC-001</t>
        </is>
      </c>
      <c r="B141" s="15" t="inlineStr">
        <is>
          <t>BASIS</t>
        </is>
      </c>
      <c r="C141" s="15" t="inlineStr">
        <is>
          <t>M1</t>
        </is>
      </c>
      <c r="D141" s="15" t="n"/>
      <c r="E141" s="15" t="inlineStr">
        <is>
          <t>Regelkonsistenz, knowledge-Format, Mehrsprachigkeit, Testlauf</t>
        </is>
      </c>
      <c r="F141" s="15" t="inlineStr">
        <is>
          <t>Doku</t>
        </is>
      </c>
      <c r="G141" s="19" t="n"/>
      <c r="H141" s="19" t="n"/>
      <c r="I141" s="18">
        <f>(G141+H141)/2</f>
        <v/>
      </c>
      <c r="J141" s="19" t="n"/>
      <c r="K141" s="15" t="inlineStr">
        <is>
          <t>TEST-001, F002, F003</t>
        </is>
      </c>
      <c r="L141" s="15" t="inlineStr">
        <is>
          <t>D10</t>
        </is>
      </c>
      <c r="M141" s="19" t="inlineStr">
        <is>
          <t>Erledigt</t>
        </is>
      </c>
      <c r="N141" s="19" t="n"/>
      <c r="O141" s="19" t="n"/>
      <c r="P141" s="15" t="inlineStr">
        <is>
          <t>Nach menschlicher Freigabe</t>
        </is>
      </c>
      <c r="Q141" s="15" t="inlineStr">
        <is>
          <t>Kern</t>
        </is>
      </c>
      <c r="R141" s="15" t="inlineStr">
        <is>
          <t>docs, knowledge, contracts, scripts</t>
        </is>
      </c>
      <c r="S141" s="15" t="inlineStr">
        <is>
          <t>Erlaubt</t>
        </is>
      </c>
      <c r="T141" s="15" t="inlineStr">
        <is>
          <t>PR #3 gemergt 15.10.2026</t>
        </is>
      </c>
    </row>
  </sheetData>
  <mergeCells count="2">
    <mergeCell ref="A2:Q2"/>
    <mergeCell ref="A1:Q1"/>
  </mergeCells>
  <conditionalFormatting sqref="M4:M126">
    <cfRule type="containsText" rank="0" priority="2" equalAverage="0" operator="containsText" aboveAverage="0" dxfId="5" text="Blockiert" percent="0" bottom="0">
      <formula>NOT(ISERROR(SEARCH("Blockiert",M4)))</formula>
    </cfRule>
  </conditionalFormatting>
  <dataValidations count="4">
    <dataValidation sqref="M4:M1000" showDropDown="0" showInputMessage="0" showErrorMessage="0" allowBlank="0" type="list" errorStyle="stop" operator="between">
      <formula1>"Offen,Bereit,In Bearbeitung,Blockiert,Im Review,Erledigt,Gestrichen"</formula1>
      <formula2>0</formula2>
    </dataValidation>
    <dataValidation sqref="O4:O1000" showDropDown="0" showInputMessage="0" showErrorMessage="0" allowBlank="0" type="list" errorStyle="stop" operator="between">
      <formula1>"Mensch,Claude,Codex"</formula1>
      <formula2>0</formula2>
    </dataValidation>
    <dataValidation sqref="G4:H1000" showDropDown="0" showInputMessage="0" showErrorMessage="0" allowBlank="0" type="whole" errorStyle="stop" operator="between">
      <formula1>1</formula1>
      <formula2>5</formula2>
    </dataValidation>
    <dataValidation sqref="J4:J1000" showDropDown="0" showInputMessage="0" showErrorMessage="0" allowBlank="0" type="list" errorStyle="stop" operator="between">
      <formula1>"1,2,3,5"</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4.xml><?xml version="1.0" encoding="utf-8"?>
<worksheet xmlns="http://schemas.openxmlformats.org/spreadsheetml/2006/main">
  <sheetPr filterMode="0">
    <outlinePr summaryBelow="1" summaryRight="1"/>
    <pageSetUpPr fitToPage="0"/>
  </sheetPr>
  <dimension ref="A1:G14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9" customWidth="1" style="10" min="1" max="1"/>
    <col width="78" customWidth="1" style="10" min="2" max="2"/>
    <col width="61" customWidth="1" style="10" min="3" max="3"/>
    <col width="72" customWidth="1" style="10" min="4" max="4"/>
    <col width="61" customWidth="1" style="10" min="5" max="5"/>
    <col width="65" customWidth="1" style="10" min="6" max="6"/>
    <col width="24" customWidth="1" style="10" min="7" max="7"/>
  </cols>
  <sheetData>
    <row r="1" ht="27.75" customHeight="1" s="11">
      <c r="A1" s="12" t="inlineStr">
        <is>
          <t>Coding-Briefings nach Task-ID</t>
        </is>
      </c>
    </row>
    <row r="2" ht="30" customHeight="1" s="11">
      <c r="A2" s="13" t="inlineStr">
        <is>
          <t>Gemeinsam mit der gleichnamigen Task-Zeile, ihrer User Story und den bestätigten Entscheidungen verwenden. Keine bestehende Codebasis oder Schnittstelle erfinden.</t>
        </is>
      </c>
    </row>
    <row r="3" ht="43.5" customHeight="1" s="11">
      <c r="A3" s="14" t="inlineStr">
        <is>
          <t>Task-ID</t>
        </is>
      </c>
      <c r="B3" s="14" t="inlineStr">
        <is>
          <t>Konkreter Auftrag</t>
        </is>
      </c>
      <c r="C3" s="14" t="inlineStr">
        <is>
          <t>Eingabe / Ausgabe</t>
        </is>
      </c>
      <c r="D3" s="14" t="inlineStr">
        <is>
          <t>Abnahmekriterien</t>
        </is>
      </c>
      <c r="E3" s="14" t="inlineStr">
        <is>
          <t>Gezielte Prüfung</t>
        </is>
      </c>
      <c r="F3" s="14" t="inlineStr">
        <is>
          <t>Nicht enthalten</t>
        </is>
      </c>
      <c r="G3" s="14" t="inlineStr">
        <is>
          <t>Bestandsbezug</t>
        </is>
      </c>
    </row>
    <row r="4" ht="117.75" customHeight="1" s="11">
      <c r="A4" s="15" t="inlineStr">
        <is>
          <t>F001</t>
        </is>
      </c>
      <c r="B4" s="15" t="inlineStr">
        <is>
          <t>Lege UI-/Backend-Stack, Repositorystruktur, Modellbetrieb und Testwerkzeuge als kurze Teamentscheidung fest.</t>
        </is>
      </c>
      <c r="C4" s="15" t="inlineStr">
        <is>
          <t>Bestehendes Repository + Hardwareangaben → Entscheidungsnotiz.</t>
        </is>
      </c>
      <c r="D4" s="15" t="inlineStr">
        <is>
          <t>Entscheidung D01 und D03 haben bestätigten Stand; keine erfundenen Dateipfade.</t>
        </is>
      </c>
      <c r="E4" s="15" t="inlineStr">
        <is>
          <t>Startbefehle und Verantwortlichkeiten im Team nachvollzogen.</t>
        </is>
      </c>
      <c r="F4"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4" s="15" t="inlineStr">
        <is>
          <t>B001, B002</t>
        </is>
      </c>
    </row>
    <row r="5" ht="117.75" customHeight="1" s="11">
      <c r="A5" s="16" t="inlineStr">
        <is>
          <t>F002</t>
        </is>
      </c>
      <c r="B5" s="16" t="inlineStr">
        <is>
          <t>Ergänze minimale Projektstruktur, Konfigurationsbeispiel ohne Geheimnisse und Startanleitung für gewählten Stack.</t>
        </is>
      </c>
      <c r="C5" s="16" t="inlineStr">
        <is>
          <t>Bestätigter Stack → startbare leere Anwendung.</t>
        </is>
      </c>
      <c r="D5" s="16" t="inlineStr">
        <is>
          <t>Zweite Person kann Grundprojekt starten.</t>
        </is>
      </c>
      <c r="E5" s="16" t="inlineStr">
        <is>
          <t>Frischer Checkout ohne private Konfigurationsdatei.</t>
        </is>
      </c>
      <c r="F5"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5" s="16" t="inlineStr">
        <is>
          <t>B007</t>
        </is>
      </c>
    </row>
    <row r="6" ht="117.75" customHeight="1" s="11">
      <c r="A6" s="15" t="inlineStr">
        <is>
          <t>F003</t>
        </is>
      </c>
      <c r="B6" s="15" t="inlineStr">
        <is>
          <t>Definiere Nachricht, Chat-ID, Request-ID, Sprache, Antwort, Quellen und einheitliche Fehlercodes.</t>
        </is>
      </c>
      <c r="C6" s="15" t="inlineStr">
        <is>
          <t>UI-Nachricht → dokumentierter API-Vertrag.</t>
        </is>
      </c>
      <c r="D6" s="15" t="inlineStr">
        <is>
          <t>Beispielrequest und Beispielantwort sind schemavalid; maximale Eingabelänge ist festgelegt.</t>
        </is>
      </c>
      <c r="E6" s="15" t="inlineStr">
        <is>
          <t>Leerer Text und überlange Eingabe sind beschrieben.</t>
        </is>
      </c>
      <c r="F6"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6" s="15" t="inlineStr">
        <is>
          <t>B001, E003</t>
        </is>
      </c>
    </row>
    <row r="7" ht="117.75" customHeight="1" s="11">
      <c r="A7" s="16" t="inlineStr">
        <is>
          <t>F004</t>
        </is>
      </c>
      <c r="B7" s="16" t="inlineStr">
        <is>
          <t>Richte einen schnellen Testbefehl und automatischen Lauf für Pull Requests ein. Verwende nur synthetische Fixtures.</t>
        </is>
      </c>
      <c r="C7" s="16" t="inlineStr">
        <is>
          <t>Repository → automatischer Prüflauf.</t>
        </is>
      </c>
      <c r="D7" s="16" t="inlineStr">
        <is>
          <t>Fehlender Test lässt Prüflauf scheitern; erfolgreicher Lauf ist reproduzierbar.</t>
        </is>
      </c>
      <c r="E7" s="16" t="inlineStr">
        <is>
          <t>Absichtlich fehlschlagender Test in temporärem Branch.</t>
        </is>
      </c>
      <c r="F7"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7" s="16" t="inlineStr">
        <is>
          <t>B005, B006</t>
        </is>
      </c>
    </row>
    <row r="8" ht="117.75" customHeight="1" s="11">
      <c r="A8" s="15" t="inlineStr">
        <is>
          <t>F005</t>
        </is>
      </c>
      <c r="B8" s="15" t="inlineStr">
        <is>
          <t>Beschreibe Chatstart, Einwilligung, Eingabe, Antwort, Rückfrage, Laden und Fehler mit kleinen Screens.</t>
        </is>
      </c>
      <c r="C8" s="15" t="inlineStr">
        <is>
          <t>API-Vertrag → abgestimmte Skizzen.</t>
        </is>
      </c>
      <c r="D8" s="15" t="inlineStr">
        <is>
          <t>Ablauf auf Desktop und Smartphone durchspielbar.</t>
        </is>
      </c>
      <c r="E8" s="15" t="inlineStr">
        <is>
          <t>Team spielt Erfolgs- und Fehlerfall durch.</t>
        </is>
      </c>
      <c r="F8"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8" s="15" t="inlineStr">
        <is>
          <t>E001</t>
        </is>
      </c>
    </row>
    <row r="9" ht="117.75" customHeight="1" s="11">
      <c r="A9" s="16" t="inlineStr">
        <is>
          <t>F006</t>
        </is>
      </c>
      <c r="B9" s="16" t="inlineStr">
        <is>
          <t>Implementiere Eingabefeld, Senden und Nachrichtenliste zunächst mit lokalem Mock.</t>
        </is>
      </c>
      <c r="C9" s="16" t="inlineStr">
        <is>
          <t>Nachricht → lokaler Chatverlauf.</t>
        </is>
      </c>
      <c r="D9" s="16" t="inlineStr">
        <is>
          <t>Nachricht und feste Antwort erscheinen; leere Eingabe ist gesperrt.</t>
        </is>
      </c>
      <c r="E9" s="16" t="inlineStr">
        <is>
          <t>Tastatur, Doppelklick und lange Eingabe.</t>
        </is>
      </c>
      <c r="F9"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9" s="16" t="inlineStr">
        <is>
          <t>E002</t>
        </is>
      </c>
    </row>
    <row r="10" ht="117.75" customHeight="1" s="11">
      <c r="A10" s="15" t="inlineStr">
        <is>
          <t>F007</t>
        </is>
      </c>
      <c r="B10" s="15" t="inlineStr">
        <is>
          <t>Implementiere genau den Chat-Endpunkt aus F003 und verbinde ihn mit F006.</t>
        </is>
      </c>
      <c r="C10" s="15" t="inlineStr">
        <is>
          <t>Chatrequest → feste Chatantwort.</t>
        </is>
      </c>
      <c r="D10" s="15" t="inlineStr">
        <is>
          <t>Nachricht durchläuft UI und Server; ungültige Eingabe liefert vereinbarten Fehler.</t>
        </is>
      </c>
      <c r="E10" s="15" t="inlineStr">
        <is>
          <t>HTTP-Erfolg, Validierungsfehler und Verbindungsabbruch.</t>
        </is>
      </c>
      <c r="F10"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0" s="15" t="inlineStr">
        <is>
          <t>E003</t>
        </is>
      </c>
    </row>
    <row r="11" ht="117.75" customHeight="1" s="11">
      <c r="A11" s="16" t="inlineStr">
        <is>
          <t>F008</t>
        </is>
      </c>
      <c r="B11" s="16" t="inlineStr">
        <is>
          <t>Implementiere einen austauschbaren Modelladapter mit Fake für Tests, begrenzter Ausgabe und konfigurierbarem Timeout.</t>
        </is>
      </c>
      <c r="C11" s="16" t="inlineStr">
        <is>
          <t>Modellrequest → Rohantwort oder technischer Fehler.</t>
        </is>
      </c>
      <c r="D11" s="16" t="inlineStr">
        <is>
          <t>Adapter lässt sich ohne reales Modell testen; Modellkennung steht in Konfiguration.</t>
        </is>
      </c>
      <c r="E11" s="16" t="inlineStr">
        <is>
          <t>Fake-Erfolg, Timeout und nicht erreichbares Modell.</t>
        </is>
      </c>
      <c r="F11"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1" s="16" t="inlineStr">
        <is>
          <t>B002, B007</t>
        </is>
      </c>
    </row>
    <row r="12" ht="117.75" customHeight="1" s="11">
      <c r="A12" s="15" t="inlineStr">
        <is>
          <t>F009</t>
        </is>
      </c>
      <c r="B12" s="15" t="inlineStr">
        <is>
          <t>Definiere synthetische Eingaben und erlaubte technische Logfelder; Gesundheitsinhalte und Geheimnisse nicht standardmäßig loggen.</t>
        </is>
      </c>
      <c r="C12" s="15" t="inlineStr">
        <is>
          <t>Datenfluss → Testdaten-/Logging-Regel.</t>
        </is>
      </c>
      <c r="D12" s="15" t="inlineStr">
        <is>
          <t>Datenfluss und Logfelder sind abgestimmt.</t>
        </is>
      </c>
      <c r="E12" s="15" t="inlineStr">
        <is>
          <t>Synthetischer Geheimniswert darf nicht in Logs erscheinen.</t>
        </is>
      </c>
      <c r="F12"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2" s="15" t="inlineStr">
        <is>
          <t>B003, B004</t>
        </is>
      </c>
    </row>
    <row r="13" ht="117.75" customHeight="1" s="11">
      <c r="A13" s="16" t="inlineStr">
        <is>
          <t>T-U004-01</t>
        </is>
      </c>
      <c r="B13" s="16" t="inlineStr">
        <is>
          <t>Lege zwölf synthetische Beispiele mit Soll-Intent an: Gesundheit, fachfremd und unklar. Begrenze den MVP auf diese drei Klassen.</t>
        </is>
      </c>
      <c r="C13" s="16" t="inlineStr">
        <is>
          <t>Eingabe: einzelne deutsche Nachricht. Ausgabe: versionierte Fixture-Datei.</t>
        </is>
      </c>
      <c r="D13" s="16" t="inlineStr">
        <is>
          <t>Jeder Fall besitzt ID, Text und erwartete Klasse; Grenzfälle sind begründet.</t>
        </is>
      </c>
      <c r="E13" s="16" t="inlineStr">
        <is>
          <t>Enthält Mathefrage, Gesundheitsfrage und mehrdeutige Kurzfrage.</t>
        </is>
      </c>
      <c r="F13"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3" s="16" t="inlineStr">
        <is>
          <t>U004</t>
        </is>
      </c>
    </row>
    <row r="14" ht="117.75" customHeight="1" s="11">
      <c r="A14" s="15" t="inlineStr">
        <is>
          <t>T-U004-02</t>
        </is>
      </c>
      <c r="B14" s="15" t="inlineStr">
        <is>
          <t>Prüfe die Modellausgabe gegen das vereinbarte Intent-Schema. Ungültige Klassen und fehlende Felder führen zum definierten Fallback.</t>
        </is>
      </c>
      <c r="C14" s="15" t="inlineStr">
        <is>
          <t>Modelltext → validierter Intent oder kontrollierter Fehler.</t>
        </is>
      </c>
      <c r="D14" s="15" t="inlineStr">
        <is>
          <t>Nur vereinbarte Klassen passieren den Validator; fehlerhaftes JSON löst keine Folgeaktion aus.</t>
        </is>
      </c>
      <c r="E14" s="15" t="inlineStr">
        <is>
          <t>Ungültiges JSON, unbekannter Intent, leere Ausgabe.</t>
        </is>
      </c>
      <c r="F14"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4" s="15" t="inlineStr">
        <is>
          <t>U004</t>
        </is>
      </c>
    </row>
    <row r="15" ht="117.75" customHeight="1" s="11">
      <c r="A15" s="16" t="inlineStr">
        <is>
          <t>T-U004-03</t>
        </is>
      </c>
      <c r="B15" s="16" t="inlineStr">
        <is>
          <t>Ergänze die Route für fachfremde Fragen mit kurzem Aufgabenhinweis. Nutze keinen FHIR- oder Profildatenzugriff.</t>
        </is>
      </c>
      <c r="C15" s="16" t="inlineStr">
        <is>
          <t>Intent fachfremd → feste Antwort im Chat-Antwortformat.</t>
        </is>
      </c>
      <c r="D15" s="16" t="inlineStr">
        <is>
          <t>Mathefrage erhält Aufgabenhinweis; Datenadapter wird dabei nicht aufgerufen.</t>
        </is>
      </c>
      <c r="E15" s="16" t="inlineStr">
        <is>
          <t>Mock-Adapter bleibt unaufgerufen; Text erscheint im Chat.</t>
        </is>
      </c>
      <c r="F15"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5" s="16" t="inlineStr">
        <is>
          <t>U004</t>
        </is>
      </c>
    </row>
    <row r="16" ht="117.75" customHeight="1" s="11">
      <c r="A16" s="15" t="inlineStr">
        <is>
          <t>T-U009-01</t>
        </is>
      </c>
      <c r="B16" s="15" t="inlineStr">
        <is>
          <t>Wähle drei allgemeine Themen einschließlich eines Lifestyle-Themas. Erfasse je Thema eine freigegebene Kurzinfo, Quelle, Version und Gültigkeitsprüfung.</t>
        </is>
      </c>
      <c r="C16" s="15" t="inlineStr">
        <is>
          <t>Thema → geprüfter Informationseintrag; keine persönlichen Messwerte.</t>
        </is>
      </c>
      <c r="D16" s="15" t="inlineStr">
        <is>
          <t>Alle drei Texte sind fachlich überprüft; offene Quellenfragen verhindern Freigabe.</t>
        </is>
      </c>
      <c r="E16" s="15" t="inlineStr">
        <is>
          <t>Jeder Eintrag hat eine eindeutige ID und einen prüfbaren Quellenbezug.</t>
        </is>
      </c>
      <c r="F16"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6" s="15" t="inlineStr">
        <is>
          <t>U009</t>
        </is>
      </c>
    </row>
    <row r="17" ht="117.75" customHeight="1" s="11">
      <c r="A17" s="16" t="inlineStr">
        <is>
          <t>T-U009-02</t>
        </is>
      </c>
      <c r="B17" s="16" t="inlineStr">
        <is>
          <t>Ordne eine allgemeine Anfrage einem der drei freigegebenen Themen zu. Bei fehlendem Treffer liefere eine begrenzte Antwort statt Wissen zu erfinden.</t>
        </is>
      </c>
      <c r="C17" s="16" t="inlineStr">
        <is>
          <t>Validierte Anfrage + Wissenspaket → Eintrags-ID oder kein Treffer.</t>
        </is>
      </c>
      <c r="D17" s="16" t="inlineStr">
        <is>
          <t>Nur freigegebene Einträge werden verwendet; unbekanntes Thema nutzt Fallback.</t>
        </is>
      </c>
      <c r="E17" s="16" t="inlineStr">
        <is>
          <t>Bekanntes Thema, unbekanntes Thema, nicht freigegebener Eintrag.</t>
        </is>
      </c>
      <c r="F17"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7" s="16" t="inlineStr">
        <is>
          <t>U009</t>
        </is>
      </c>
    </row>
    <row r="18" ht="117.75" customHeight="1" s="11">
      <c r="A18" s="15" t="inlineStr">
        <is>
          <t>T-U009-03</t>
        </is>
      </c>
      <c r="B18" s="15" t="inlineStr">
        <is>
          <t>Erstelle die Antwort aus dem gewählten Eintrag: kurze Erklärung, erläuterte Fachbegriffe und Quellen. Details nur bei entsprechender Nachfrage.</t>
        </is>
      </c>
      <c r="C18" s="15" t="inlineStr">
        <is>
          <t>Eintrag + Detailwunsch → Chatantwort mit Quellenreferenzen.</t>
        </is>
      </c>
      <c r="D18" s="15" t="inlineStr">
        <is>
          <t>Keine Diagnose; Quelle gehört zum verwendeten Eintrag; Länge folgt vereinbarter Grenze.</t>
        </is>
      </c>
      <c r="E18" s="15" t="inlineStr">
        <is>
          <t>Fachwort wird erklärt; Quellen-ID bleibt korrekt; Detailwunsch wird berücksichtigt.</t>
        </is>
      </c>
      <c r="F18"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8" s="15" t="inlineStr">
        <is>
          <t>U009</t>
        </is>
      </c>
    </row>
    <row r="19" ht="117.75" customHeight="1" s="11">
      <c r="A19" s="16" t="inlineStr">
        <is>
          <t>T-U009-04</t>
        </is>
      </c>
      <c r="B19" s="16" t="inlineStr">
        <is>
          <t>Zeige Antwort und Quellen im Chat, einschließlich leerem Quellenzustand und weiterführender Nachfrage.</t>
        </is>
      </c>
      <c r="C19" s="16" t="inlineStr">
        <is>
          <t>Chatantwort → UI mit optionalen Quellenlinks.</t>
        </is>
      </c>
      <c r="D19" s="16" t="inlineStr">
        <is>
          <t>Links sind zugänglich beschriftet; dynamischer Text wird sicher ausgegeben.</t>
        </is>
      </c>
      <c r="E19" s="16" t="inlineStr">
        <is>
          <t>Tastaturbedienung, langer Quellentitel, HTML im Modelltext.</t>
        </is>
      </c>
      <c r="F19"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9" s="16" t="inlineStr">
        <is>
          <t>U009</t>
        </is>
      </c>
    </row>
    <row r="20" ht="117.75" customHeight="1" s="11">
      <c r="A20" s="15" t="inlineStr">
        <is>
          <t>T-U010-01</t>
        </is>
      </c>
      <c r="B20" s="15" t="inlineStr">
        <is>
          <t>Definiere für den M1-Dialog genau einen Rückfrageschritt, wenn das Anliegen nicht erkennbar ist. Halte Beispiele und Abbruchbedingungen fest.</t>
        </is>
      </c>
      <c r="C20" s="15" t="inlineStr">
        <is>
          <t>Intent unklar → Rückfragevorlage und erwartetes Antwortfeld.</t>
        </is>
      </c>
      <c r="D20" s="15" t="inlineStr">
        <is>
          <t>Unklarheit führt zu einer gezielten Frage; nach erneut unklarer Antwort greift Fallback.</t>
        </is>
      </c>
      <c r="E20" s="15" t="inlineStr">
        <is>
          <t>Leere, mehrdeutige und bereits ausreichende Anfrage.</t>
        </is>
      </c>
      <c r="F20"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20" s="15" t="inlineStr">
        <is>
          <t>U010</t>
        </is>
      </c>
    </row>
    <row r="21" ht="117.75" customHeight="1" s="11">
      <c r="A21" s="16" t="inlineStr">
        <is>
          <t>T-U010-02</t>
        </is>
      </c>
      <c r="B21" s="16" t="inlineStr">
        <is>
          <t>Speichere eine offene Rückfrage im flüchtigen Sitzungszustand und ordne die nächste Nachricht diesem Schritt zu.</t>
        </is>
      </c>
      <c r="C21" s="16" t="inlineStr">
        <is>
          <t>Sitzungs-ID + Nachricht → aktualisierter Rückfragestatus.</t>
        </is>
      </c>
      <c r="D21" s="16" t="inlineStr">
        <is>
          <t>Eine Antwort schließt den Schritt ab; neue Sitzung übernimmt keinen Zustand.</t>
        </is>
      </c>
      <c r="E21" s="16" t="inlineStr">
        <is>
          <t>Zwei Sitzungen, neue Sitzung, doppelte Nachricht.</t>
        </is>
      </c>
      <c r="F21"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21" s="16" t="inlineStr">
        <is>
          <t>U010</t>
        </is>
      </c>
    </row>
    <row r="22" ht="117.75" customHeight="1" s="11">
      <c r="A22" s="15" t="inlineStr">
        <is>
          <t>T-U010-03</t>
        </is>
      </c>
      <c r="B22" s="15" t="inlineStr">
        <is>
          <t>Stelle Rückfrage und Folgeantwort im selben Verlauf dar und leite den bestätigten Text erneut zur Intent-Erkennung.</t>
        </is>
      </c>
      <c r="C22" s="15" t="inlineStr">
        <is>
          <t>Rückfragestatus → UI und erneuter Routingaufruf.</t>
        </is>
      </c>
      <c r="D22" s="15" t="inlineStr">
        <is>
          <t>Eine vollständige Folgeantwort wird weitergeleitet; Abbruch bleibt möglich.</t>
        </is>
      </c>
      <c r="E22" s="15" t="inlineStr">
        <is>
          <t>End-to-End-Fall von unklarer Eingabe bis gültigem Intent.</t>
        </is>
      </c>
      <c r="F22"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22" s="15" t="inlineStr">
        <is>
          <t>U010</t>
        </is>
      </c>
    </row>
    <row r="23" ht="117.75" customHeight="1" s="11">
      <c r="A23" s="16" t="inlineStr">
        <is>
          <t>T-U026-01</t>
        </is>
      </c>
      <c r="B23" s="16" t="inlineStr">
        <is>
          <t>Zeige während einer offenen Anfrage einen zugänglichen Bearbeitungsstatus. Verhindere versehentliche Mehrfachsendungen derselben Anfrage.</t>
        </is>
      </c>
      <c r="C23" s="16" t="inlineStr">
        <is>
          <t>Request-ID und Anfragezustand → UI-Anzeige.</t>
        </is>
      </c>
      <c r="D23" s="16" t="inlineStr">
        <is>
          <t>Status beginnt beim Senden und endet in jedem Abschlussfall.</t>
        </is>
      </c>
      <c r="E23" s="16" t="inlineStr">
        <is>
          <t>Schnelle Antwort, langsame Antwort und Doppelklick.</t>
        </is>
      </c>
      <c r="F23"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23" s="16" t="inlineStr">
        <is>
          <t>U026</t>
        </is>
      </c>
    </row>
    <row r="24" ht="117.75" customHeight="1" s="11">
      <c r="A24" s="15" t="inlineStr">
        <is>
          <t>T-U026-02</t>
        </is>
      </c>
      <c r="B24" s="15" t="inlineStr">
        <is>
          <t>Beende das Warten nach konfigurierbarer Zeit. Späte Ergebnisse dürfen eine abgebrochene Anfrage nicht wieder sichtbar machen.</t>
        </is>
      </c>
      <c r="C24" s="15" t="inlineStr">
        <is>
          <t>Request-ID + Timeout-Konfiguration → Erfolg oder Fehlercode.</t>
        </is>
      </c>
      <c r="D24" s="15" t="inlineStr">
        <is>
          <t>Timeout liefert einheitlichen Fehler; verspätete Antwort wird verworfen.</t>
        </is>
      </c>
      <c r="E24" s="15" t="inlineStr">
        <is>
          <t>Fake-Timer, verspätetes Ergebnis, Netzwerkabbruch.</t>
        </is>
      </c>
      <c r="F24"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24" s="15" t="inlineStr">
        <is>
          <t>U026</t>
        </is>
      </c>
    </row>
    <row r="25" ht="117.75" customHeight="1" s="11">
      <c r="A25" s="16" t="inlineStr">
        <is>
          <t>T-U026-03</t>
        </is>
      </c>
      <c r="B25" s="16" t="inlineStr">
        <is>
          <t>Biete nach Fehler eine bewusste Wiederholung an. Definiere Wiederholungskennung und Darstellung der ursprünglichen Nachricht.</t>
        </is>
      </c>
      <c r="C25" s="16" t="inlineStr">
        <is>
          <t>Fehlgeschlagener Request → neuer Versuch mit Bezug zum alten.</t>
        </is>
      </c>
      <c r="D25" s="16" t="inlineStr">
        <is>
          <t>Eine Wiederholung erzeugt keine doppelte Nutzernachricht; Eingabetext bleibt erhalten.</t>
        </is>
      </c>
      <c r="E25" s="16" t="inlineStr">
        <is>
          <t>Timeout, Wiederholung, erneuter Fehler und erfolgreicher Abschluss.</t>
        </is>
      </c>
      <c r="F25"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25" s="16" t="inlineStr">
        <is>
          <t>U026</t>
        </is>
      </c>
    </row>
    <row r="26" ht="117.75" customHeight="1" s="11">
      <c r="A26" s="15" t="inlineStr">
        <is>
          <t>T-U027-01</t>
        </is>
      </c>
      <c r="B26" s="15" t="inlineStr">
        <is>
          <t>Lege Zustände ohne Entscheidung, zugestimmt, abgelehnt und widerrufen fest. Definiere Textversion und Verarbeitung im synthetischen Demo-Modus.</t>
        </is>
      </c>
      <c r="C26" s="15" t="inlineStr">
        <is>
          <t>Zustandsübergänge und versionierter Hinweistext.</t>
        </is>
      </c>
      <c r="D26" s="15" t="inlineStr">
        <is>
          <t>Zweck, Umfang und Wirkung des Widerrufs sind mit Betreuung geklärt.</t>
        </is>
      </c>
      <c r="E26" s="15" t="inlineStr">
        <is>
          <t>Für jeden Zustand ist Modellaufruf erlaubt oder gesperrt festgelegt.</t>
        </is>
      </c>
      <c r="F26"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26" s="15" t="inlineStr">
        <is>
          <t>U027</t>
        </is>
      </c>
    </row>
    <row r="27" ht="117.75" customHeight="1" s="11">
      <c r="A27" s="16" t="inlineStr">
        <is>
          <t>T-U027-02</t>
        </is>
      </c>
      <c r="B27" s="16" t="inlineStr">
        <is>
          <t>Baue einen Chatstart mit gleich verständlichen Optionen für Zustimmung und Ablehnung. Zeige später eine Widerrufsaktion.</t>
        </is>
      </c>
      <c r="C27" s="16" t="inlineStr">
        <is>
          <t>Hinweisversion + Entscheidung → Einwilligungsaktion.</t>
        </is>
      </c>
      <c r="D27" s="16" t="inlineStr">
        <is>
          <t>Keine vorausgewählte Zustimmung; Ablehnung startet keinen Chat-Aufruf.</t>
        </is>
      </c>
      <c r="E27" s="16" t="inlineStr">
        <is>
          <t>Tastatur, Ablehnung und erneutes Öffnen.</t>
        </is>
      </c>
      <c r="F27"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27" s="16" t="inlineStr">
        <is>
          <t>U027</t>
        </is>
      </c>
    </row>
    <row r="28" ht="117.75" customHeight="1" s="11">
      <c r="A28" s="15" t="inlineStr">
        <is>
          <t>T-U027-03</t>
        </is>
      </c>
      <c r="B28" s="15" t="inlineStr">
        <is>
          <t>Prüfe vor jedem Modellaufruf die aktuelle sitzungsgebundene Freigabe. Ein alleiniger UI-Schalter ist nicht ausreichend.</t>
        </is>
      </c>
      <c r="C28" s="15" t="inlineStr">
        <is>
          <t>Sitzungs-ID + Hinweisversion → erlaubte oder verweigerte Verarbeitung.</t>
        </is>
      </c>
      <c r="D28" s="15" t="inlineStr">
        <is>
          <t>Direkter API-Aufruf ohne Freigabe ist blockiert; gültige Zustimmung erlaubt ihn.</t>
        </is>
      </c>
      <c r="E28" s="15" t="inlineStr">
        <is>
          <t>Manipulierter Clientwert, fehlende Sitzung, alte Hinweisversion.</t>
        </is>
      </c>
      <c r="F28"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28" s="15" t="inlineStr">
        <is>
          <t>U027</t>
        </is>
      </c>
    </row>
    <row r="29" ht="117.75" customHeight="1" s="11">
      <c r="A29" s="16" t="inlineStr">
        <is>
          <t>T-U027-04</t>
        </is>
      </c>
      <c r="B29" s="16" t="inlineStr">
        <is>
          <t>Sperre neue Aufrufe bei Widerruf und verwerfe ausstehende Ergebnisse; brich laufende Verarbeitung soweit technisch möglich ab.</t>
        </is>
      </c>
      <c r="C29" s="16" t="inlineStr">
        <is>
          <t>Widerrufsaktion → neue Freigabeversion und Request-Abbruch.</t>
        </is>
      </c>
      <c r="D29" s="16" t="inlineStr">
        <is>
          <t>Nach Widerruf wird keine neue Antwort angezeigt und kein weiterer Aufruf begonnen.</t>
        </is>
      </c>
      <c r="E29" s="16" t="inlineStr">
        <is>
          <t>Widerruf vor, während und nach Antwort; keine Gleichsetzung mit Löschung.</t>
        </is>
      </c>
      <c r="F29"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29" s="16" t="inlineStr">
        <is>
          <t>U027</t>
        </is>
      </c>
    </row>
    <row r="30" ht="117.75" customHeight="1" s="11">
      <c r="A30" s="15" t="inlineStr">
        <is>
          <t>F010</t>
        </is>
      </c>
      <c r="B30" s="15" t="inlineStr">
        <is>
          <t>Verbinde Chat-Endpunkt und Modelladapter erst nach U027; validiere Ausgabe und liefere kontrollierten Fehler bei ungültiger Antwort.</t>
        </is>
      </c>
      <c r="C30" s="15" t="inlineStr">
        <is>
          <t>Chatrequest + gültige Freigabe → Modellantwort.</t>
        </is>
      </c>
      <c r="D30" s="15" t="inlineStr">
        <is>
          <t>Keine Freigabe bedeutet keinen Modellaufruf.</t>
        </is>
      </c>
      <c r="E30" s="15" t="inlineStr">
        <is>
          <t>End-to-End-Erfolg und ungültige Modellausgabe.</t>
        </is>
      </c>
      <c r="F30"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30" s="15" t="inlineStr">
        <is>
          <t>B007</t>
        </is>
      </c>
    </row>
    <row r="31" ht="117.75" customHeight="1" s="11">
      <c r="A31" s="16" t="inlineStr">
        <is>
          <t>T-U028-01</t>
        </is>
      </c>
      <c r="B31" s="16" t="inlineStr">
        <is>
          <t>Formuliere einen kurzen Hinweis zu KI, Funktionsgrenzen und Demo-Umfang; speichere ihn mit Versionskennung.</t>
        </is>
      </c>
      <c r="C31" s="16" t="inlineStr">
        <is>
          <t>Versionierter Textbaustein → Chatstart.</t>
        </is>
      </c>
      <c r="D31" s="16" t="inlineStr">
        <is>
          <t>Text ist abgestimmt und vor Einwilligung lesbar.</t>
        </is>
      </c>
      <c r="E31" s="16" t="inlineStr">
        <is>
          <t>Text und Versionskennung gehören zusammen.</t>
        </is>
      </c>
      <c r="F31"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31" s="16" t="inlineStr">
        <is>
          <t>U028</t>
        </is>
      </c>
    </row>
    <row r="32" ht="117.75" customHeight="1" s="11">
      <c r="A32" s="15" t="inlineStr">
        <is>
          <t>T-U028-02</t>
        </is>
      </c>
      <c r="B32" s="15" t="inlineStr">
        <is>
          <t>Zeige im Header eine erkennbare KI-Kennzeichnung und verlinke den Hinweis. Nutze dieselbe Textquelle wie am Chatstart.</t>
        </is>
      </c>
      <c r="C32" s="15" t="inlineStr">
        <is>
          <t>Textbaustein → Header und Hinweisansicht.</t>
        </is>
      </c>
      <c r="D32" s="15" t="inlineStr">
        <is>
          <t>Kennzeichnung bleibt auf kleinen Bildschirmen und während des Chats sichtbar.</t>
        </is>
      </c>
      <c r="E32" s="15" t="inlineStr">
        <is>
          <t>Desktop, Smartphone und Tastaturfokus.</t>
        </is>
      </c>
      <c r="F32"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32" s="15" t="inlineStr">
        <is>
          <t>U028</t>
        </is>
      </c>
    </row>
    <row r="33" ht="117.75" customHeight="1" s="11">
      <c r="A33" s="16" t="inlineStr">
        <is>
          <t>F015</t>
        </is>
      </c>
      <c r="B33" s="16" t="inlineStr">
        <is>
          <t>Führe die zwölf vorgeschlagenen M1-Kriterien mit Team-bestätigten Zielwerten aus und erfasse Nachweise.</t>
        </is>
      </c>
      <c r="C33" s="16" t="inlineStr">
        <is>
          <t>Integrierter M1-Stand → Reviewprotokoll.</t>
        </is>
      </c>
      <c r="D33" s="16" t="inlineStr">
        <is>
          <t>Alle Pflichtkriterien sind erfüllt oder mit konkretem Blocker dokumentiert.</t>
        </is>
      </c>
      <c r="E33" s="16" t="inlineStr">
        <is>
          <t>Zweite Person startet Anwendung und spielt Kernfälle durch.</t>
        </is>
      </c>
      <c r="F33"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33" s="16" t="inlineStr">
        <is>
          <t>B005, B006</t>
        </is>
      </c>
    </row>
    <row r="34" ht="117.75" customHeight="1" s="11">
      <c r="A34" s="15" t="inlineStr">
        <is>
          <t>T-U017-01</t>
        </is>
      </c>
      <c r="B34" s="15" t="inlineStr">
        <is>
          <t>Extrahiere feste UI-, Rückfrage- und Fehlertexte in einen zweisprachigen Katalog. Prüfe insbesondere Grenzenhinweise.</t>
        </is>
      </c>
      <c r="C34" s="15" t="inlineStr">
        <is>
          <t>Textschlüssel + Sprache → UI-Text.</t>
        </is>
      </c>
      <c r="D34" s="15" t="inlineStr">
        <is>
          <t>Jeder Schlüssel hat beide Sprachversionen oder einen dokumentierten Fallback.</t>
        </is>
      </c>
      <c r="E34" s="15" t="inlineStr">
        <is>
          <t>Fehlender Schlüssel und langer englischer Text.</t>
        </is>
      </c>
      <c r="F34"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34" s="15" t="inlineStr">
        <is>
          <t>U017</t>
        </is>
      </c>
    </row>
    <row r="35" ht="117.75" customHeight="1" s="11">
      <c r="A35" s="16" t="inlineStr">
        <is>
          <t>T-U017-02</t>
        </is>
      </c>
      <c r="B35" s="16" t="inlineStr">
        <is>
          <t>Führe eine Sprachwahl für UI und Modellrequest ein. Unterstütze zunächst ausschließlich Deutsch und Englisch.</t>
        </is>
      </c>
      <c r="C35" s="16" t="inlineStr">
        <is>
          <t>Sprachcode → UI-Katalog und Modellparameter.</t>
        </is>
      </c>
      <c r="D35" s="16" t="inlineStr">
        <is>
          <t>Gewählte Sprache bleibt im aktuellen Chat konsistent; unbekannte Sprache wird abgefangen.</t>
        </is>
      </c>
      <c r="E35" s="16" t="inlineStr">
        <is>
          <t>Wechsel DE/EN, Reload und ungültiger Code.</t>
        </is>
      </c>
      <c r="F35"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35" s="16" t="inlineStr">
        <is>
          <t>U017</t>
        </is>
      </c>
    </row>
    <row r="36" ht="117.75" customHeight="1" s="11">
      <c r="A36" s="15" t="inlineStr">
        <is>
          <t>T-U017-03</t>
        </is>
      </c>
      <c r="B36" s="15" t="inlineStr">
        <is>
          <t>Teste dieselben freigegebenen Kernfälle in beiden Sprachen einschließlich Rückfrage und Fehler.</t>
        </is>
      </c>
      <c r="C36" s="15" t="inlineStr">
        <is>
          <t>Zweisprachige Fixtures → Vergleichsprotokoll.</t>
        </is>
      </c>
      <c r="D36" s="15" t="inlineStr">
        <is>
          <t>Keine neue medizinische Aussage durch Übersetzung; Texte sind verständlich geprüft.</t>
        </is>
      </c>
      <c r="E36" s="15" t="inlineStr">
        <is>
          <t>Fachfremd, allgemein, unklar und Timeout in beiden Sprachen.</t>
        </is>
      </c>
      <c r="F36"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36" s="15" t="inlineStr">
        <is>
          <t>U017</t>
        </is>
      </c>
    </row>
    <row r="37" ht="117.75" customHeight="1" s="11">
      <c r="A37" s="16" t="inlineStr">
        <is>
          <t>F011</t>
        </is>
      </c>
      <c r="B37" s="16" t="inlineStr">
        <is>
          <t>Implementiere vereinbarten Demo-Anmeldeweg mit zwei synthetischen Konten und serverseitiger Identität.</t>
        </is>
      </c>
      <c r="C37" s="16" t="inlineStr">
        <is>
          <t>Testanmeldung → serverseitige Sitzung.</t>
        </is>
      </c>
      <c r="D37" s="16" t="inlineStr">
        <is>
          <t>Abmelden beendet Zugriff; Client kann Identität nicht frei überschreiben.</t>
        </is>
      </c>
      <c r="E37" s="16" t="inlineStr">
        <is>
          <t>An-/Abmeldung, abgelaufene Sitzung und fremde Nutzer-ID.</t>
        </is>
      </c>
      <c r="F37"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37" s="16" t="inlineStr">
        <is>
          <t>E004</t>
        </is>
      </c>
    </row>
    <row r="38" ht="117.75" customHeight="1" s="11">
      <c r="A38" s="15" t="inlineStr">
        <is>
          <t>F012</t>
        </is>
      </c>
      <c r="B38" s="15" t="inlineStr">
        <is>
          <t>Kläre Version, Ressourcen, Einheiten und Patientenbezug; erstelle je unterstütztem Typ eine synthetische gültige und ungültige Fixture.</t>
        </is>
      </c>
      <c r="C38" s="15" t="inlineStr">
        <is>
          <t>Projektvorgabe → FHIR-Vertrag und Fixtures.</t>
        </is>
      </c>
      <c r="D38" s="15" t="inlineStr">
        <is>
          <t>D02 bestätigt; kein Rückschluss von R4-Beispiellink auf echte Projektversion.</t>
        </is>
      </c>
      <c r="E38" s="15" t="inlineStr">
        <is>
          <t>Version und Ressourcenprofil explizit geprüft.</t>
        </is>
      </c>
      <c r="F38"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38" s="15" t="inlineStr">
        <is>
          <t>B004</t>
        </is>
      </c>
    </row>
    <row r="39" ht="117.75" customHeight="1" s="11">
      <c r="A39" s="16" t="inlineStr">
        <is>
          <t>F013</t>
        </is>
      </c>
      <c r="B39" s="16" t="inlineStr">
        <is>
          <t>Implementiere nach D06 eine kleine gemeinsame Ablage mit Nutzerbindung, Versionsfeld und Löschadapter-Schnittstelle.</t>
        </is>
      </c>
      <c r="C39" s="16" t="inlineStr">
        <is>
          <t>Eigene Datensätze → Speicheradapter.</t>
        </is>
      </c>
      <c r="D39" s="16" t="inlineStr">
        <is>
          <t>Isolation und sichere Wiederholung sind getestet; noch keine profilspezifische Logik.</t>
        </is>
      </c>
      <c r="E39" s="16" t="inlineStr">
        <is>
          <t>Zwei Nutzer und wiederholtes Löschen eines Datensatzes.</t>
        </is>
      </c>
      <c r="F39"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39" s="16" t="inlineStr">
        <is>
          <t>B003</t>
        </is>
      </c>
    </row>
    <row r="40" ht="117.75" customHeight="1" s="11">
      <c r="A40" s="15" t="inlineStr">
        <is>
          <t>T-U005-01</t>
        </is>
      </c>
      <c r="B40" s="15" t="inlineStr">
        <is>
          <t>Beschreibe für zwei synthetische Konten, welche eigenen Daten gelesen oder geändert werden dürfen. Identität stammt ausschließlich aus der Sitzung.</t>
        </is>
      </c>
      <c r="C40" s="15" t="inlineStr">
        <is>
          <t>Sitzungsidentität + Ressourceneigentümer → Zugriffsentscheidung.</t>
        </is>
      </c>
      <c r="D40" s="15" t="inlineStr">
        <is>
          <t>Eigener Abruf, fremder Abruf und fehlende Anmeldung haben eindeutige Ergebnisse.</t>
        </is>
      </c>
      <c r="E40" s="15" t="inlineStr">
        <is>
          <t>Matrix enthält manipulierte Nutzer-ID und fremde Ressourcen-ID.</t>
        </is>
      </c>
      <c r="F40"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40" s="15" t="inlineStr">
        <is>
          <t>U005</t>
        </is>
      </c>
    </row>
    <row r="41" ht="117.75" customHeight="1" s="11">
      <c r="A41" s="16" t="inlineStr">
        <is>
          <t>T-U005-02</t>
        </is>
      </c>
      <c r="B41" s="16" t="inlineStr">
        <is>
          <t>Ergänze eine zentrale serverseitige Eigentumsprüfung vor dem Rückgeben einer Ressource. Verwende die Testkonten aus F011.</t>
        </is>
      </c>
      <c r="C41" s="16" t="inlineStr">
        <is>
          <t>Autorisierter Datenzugriff → Ressource oder neutraler Fehler.</t>
        </is>
      </c>
      <c r="D41" s="16" t="inlineStr">
        <is>
          <t>Eine fremde Ressourcen-ID liefert keine Inhalte; eigene Daten bleiben abrufbar.</t>
        </is>
      </c>
      <c r="E41" s="16" t="inlineStr">
        <is>
          <t>Konto A fordert Ressource von B an; Parameter wird manipuliert.</t>
        </is>
      </c>
      <c r="F41"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41" s="16" t="inlineStr">
        <is>
          <t>U005</t>
        </is>
      </c>
    </row>
    <row r="42" ht="117.75" customHeight="1" s="11">
      <c r="A42" s="15" t="inlineStr">
        <is>
          <t>T-U005-03</t>
        </is>
      </c>
      <c r="B42" s="15" t="inlineStr">
        <is>
          <t>Trenne Systemregeln von Nutzer- und Datentexten. Modelltext darf weder Identität noch erlaubte Datenquellen überschreiben.</t>
        </is>
      </c>
      <c r="C42" s="15" t="inlineStr">
        <is>
          <t>Dateninhalt → begrenzter Kontext; Rechte bleiben serverseitig.</t>
        </is>
      </c>
      <c r="D42" s="15" t="inlineStr">
        <is>
          <t>In Daten eingebettete Anweisungen ändern keine Zugriffsentscheidung.</t>
        </is>
      </c>
      <c r="E42" s="15" t="inlineStr">
        <is>
          <t>Prompt-Injection in Nachricht und importiertem Textfeld.</t>
        </is>
      </c>
      <c r="F42"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42" s="15" t="inlineStr">
        <is>
          <t>U005</t>
        </is>
      </c>
    </row>
    <row r="43" ht="117.75" customHeight="1" s="11">
      <c r="A43" s="16" t="inlineStr">
        <is>
          <t>T-U005-04</t>
        </is>
      </c>
      <c r="B43" s="16" t="inlineStr">
        <is>
          <t>Zeige ein neutrales Fehlerformat ohne fremde Inhalte oder interne Details und protokolliere nur technische Metadaten.</t>
        </is>
      </c>
      <c r="C43" s="16" t="inlineStr">
        <is>
          <t>Fehlercode → UI-Text und minimales technisches Ereignis.</t>
        </is>
      </c>
      <c r="D43" s="16" t="inlineStr">
        <is>
          <t>Fehlerantwort und Logs verraten keine fremden Gesundheitsdaten.</t>
        </is>
      </c>
      <c r="E43" s="16" t="inlineStr">
        <is>
          <t>Fehler-Snapshot und Logprüfung mit synthetischem Geheimniswert.</t>
        </is>
      </c>
      <c r="F43"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43" s="16" t="inlineStr">
        <is>
          <t>U005</t>
        </is>
      </c>
    </row>
    <row r="44" ht="117.75" customHeight="1" s="11">
      <c r="A44" s="15" t="inlineStr">
        <is>
          <t>T-U023-01</t>
        </is>
      </c>
      <c r="B44" s="15" t="inlineStr">
        <is>
          <t>Definiere Quell-ID, Zweck, Nutzer, Freigabeversion und Status getrennt von der Chat-Einwilligung.</t>
        </is>
      </c>
      <c r="C44" s="15" t="inlineStr">
        <is>
          <t>Nutzer + Quelle + Zweck → versionierter Freigabestatus.</t>
        </is>
      </c>
      <c r="D44" s="15" t="inlineStr">
        <is>
          <t>Freigaben zweier Quellen und zweier Nutzer sind unabhängig.</t>
        </is>
      </c>
      <c r="E44" s="15" t="inlineStr">
        <is>
          <t>Widerruf einer Quelle beeinflusst die andere nicht.</t>
        </is>
      </c>
      <c r="F44"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44" s="15" t="inlineStr">
        <is>
          <t>U023</t>
        </is>
      </c>
    </row>
    <row r="45" ht="117.75" customHeight="1" s="11">
      <c r="A45" s="16" t="inlineStr">
        <is>
          <t>T-U023-02</t>
        </is>
      </c>
      <c r="B45" s="16" t="inlineStr">
        <is>
          <t>Implementiere lesende und ändernde Operationen für die eigenen Freigaben; Datenzugriffe prüfen den aktuellen Stand.</t>
        </is>
      </c>
      <c r="C45" s="16" t="inlineStr">
        <is>
          <t>Eigene Freigabeaktion → gespeicherter Status und Prüffunktion.</t>
        </is>
      </c>
      <c r="D45" s="16" t="inlineStr">
        <is>
          <t>Nicht freigegebene Quelle wird serverseitig abgewiesen.</t>
        </is>
      </c>
      <c r="E45" s="16" t="inlineStr">
        <is>
          <t>Unangemeldet, fremde Freigabe, gültige Änderung.</t>
        </is>
      </c>
      <c r="F45"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45" s="16" t="inlineStr">
        <is>
          <t>U023</t>
        </is>
      </c>
    </row>
    <row r="46" ht="117.75" customHeight="1" s="11">
      <c r="A46" s="15" t="inlineStr">
        <is>
          <t>T-U023-03</t>
        </is>
      </c>
      <c r="B46" s="15" t="inlineStr">
        <is>
          <t>Zeige verfügbare Quellen, Zweck und Freigabestatus mit eigener Widerrufsaktion je Quelle.</t>
        </is>
      </c>
      <c r="C46" s="15" t="inlineStr">
        <is>
          <t>Quellenliste → Auswahlansicht.</t>
        </is>
      </c>
      <c r="D46" s="15" t="inlineStr">
        <is>
          <t>Status wird nach Änderung vom Server übernommen; Fehler stellt alten Stand wieder her.</t>
        </is>
      </c>
      <c r="E46" s="15" t="inlineStr">
        <is>
          <t>Erfolgreiche Änderung, Serverfehler und Reload.</t>
        </is>
      </c>
      <c r="F46"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46" s="15" t="inlineStr">
        <is>
          <t>U023</t>
        </is>
      </c>
    </row>
    <row r="47" ht="117.75" customHeight="1" s="11">
      <c r="A47" s="16" t="inlineStr">
        <is>
          <t>T-U023-04</t>
        </is>
      </c>
      <c r="B47" s="16" t="inlineStr">
        <is>
          <t>Entferne widerrufene Quellen aus künftigem Modellkontext und invalidiere betroffene Anwendungs-Caches.</t>
        </is>
      </c>
      <c r="C47" s="16" t="inlineStr">
        <is>
          <t>Widerruf → Kontext-/Cache-Invalidierung.</t>
        </is>
      </c>
      <c r="D47" s="16" t="inlineStr">
        <is>
          <t>Nach Widerruf liefert ein neuer Abruf keine Daten dieser Quelle.</t>
        </is>
      </c>
      <c r="E47" s="16" t="inlineStr">
        <is>
          <t>Bereits geladene Quelle, laufender Request und erneuter Abruf.</t>
        </is>
      </c>
      <c r="F47"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47" s="16" t="inlineStr">
        <is>
          <t>U023</t>
        </is>
      </c>
    </row>
    <row r="48" ht="117.75" customHeight="1" s="11">
      <c r="A48" s="15" t="inlineStr">
        <is>
          <t>T-U007-01</t>
        </is>
      </c>
      <c r="B48" s="15" t="inlineStr">
        <is>
          <t>Definiere zunächst eine vereinbarte Messgröße mit Zeitraumfilter und normalisiertem Ausgabeschema. Weitere Messgrößen sind spätere kleine Erweiterungen.</t>
        </is>
      </c>
      <c r="C48" s="15" t="inlineStr">
        <is>
          <t>Messgrößen-ID + Zeitraum → Liste normalisierter Einträge.</t>
        </is>
      </c>
      <c r="D48" s="15" t="inlineStr">
        <is>
          <t>Wert, Einheit, Messzeitpunkt, Quelle und Ressourcen-ID sind festgelegt.</t>
        </is>
      </c>
      <c r="E48" s="15" t="inlineStr">
        <is>
          <t>Eine gültige und eine nicht unterstützte Messgrößen-ID.</t>
        </is>
      </c>
      <c r="F48"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48" s="15" t="inlineStr">
        <is>
          <t>U007</t>
        </is>
      </c>
    </row>
    <row r="49" ht="117.75" customHeight="1" s="11">
      <c r="A49" s="16" t="inlineStr">
        <is>
          <t>T-U007-02</t>
        </is>
      </c>
      <c r="B49" s="16" t="inlineStr">
        <is>
          <t>Lese die freigegebene Ressource aus synthetischen FHIR-Fixtures und überführe sie ohne Interpretation in das interne Schema.</t>
        </is>
      </c>
      <c r="C49" s="16" t="inlineStr">
        <is>
          <t>Freigegebene FHIR-Version + Ressource → interner Eintrag.</t>
        </is>
      </c>
      <c r="D49" s="16" t="inlineStr">
        <is>
          <t>Originalwert und Einheit bleiben erhalten; unbekannte Felder werden kontrolliert behandelt.</t>
        </is>
      </c>
      <c r="E49" s="16" t="inlineStr">
        <is>
          <t>Gültige Ressource, fehlende Einheit, nicht unterstützter Ressourcentyp.</t>
        </is>
      </c>
      <c r="F49"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49" s="16" t="inlineStr">
        <is>
          <t>U007</t>
        </is>
      </c>
    </row>
    <row r="50" ht="117.75" customHeight="1" s="11">
      <c r="A50" s="15" t="inlineStr">
        <is>
          <t>T-U007-03</t>
        </is>
      </c>
      <c r="B50" s="15" t="inlineStr">
        <is>
          <t>Verbinde Zeitraumprüfung, Rechteprüfung und Adapter. Setze eine Ergebnisgrenze und behandle weitere Seiten gemäß Datenvertrag.</t>
        </is>
      </c>
      <c r="C50" s="15" t="inlineStr">
        <is>
          <t>Authentifizierte Abfrage → begrenzte Ergebnisliste.</t>
        </is>
      </c>
      <c r="D50" s="15" t="inlineStr">
        <is>
          <t>Nur eigene freigegebene Daten innerhalb des Zeitraums werden geliefert.</t>
        </is>
      </c>
      <c r="E50" s="15" t="inlineStr">
        <is>
          <t>Zeitraumgrenzen, unzulässige Quelle und mehr als eine Seite.</t>
        </is>
      </c>
      <c r="F50"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50" s="15" t="inlineStr">
        <is>
          <t>U007</t>
        </is>
      </c>
    </row>
    <row r="51" ht="117.75" customHeight="1" s="11">
      <c r="A51" s="16" t="inlineStr">
        <is>
          <t>T-U007-04</t>
        </is>
      </c>
      <c r="B51" s="16" t="inlineStr">
        <is>
          <t>Zeige Messwert, Einheit, Zeit und Quelle im Chat oder Datenpanel. Formatiere Daten ohne neue medizinische Interpretation.</t>
        </is>
      </c>
      <c r="C51" s="16" t="inlineStr">
        <is>
          <t>Normalisierte Einträge → Liste oder Tabelle.</t>
        </is>
      </c>
      <c r="D51" s="16" t="inlineStr">
        <is>
          <t>Kein Wert ohne zugehörige Herkunft; leere Ergebnisse sind erkennbar.</t>
        </is>
      </c>
      <c r="E51" s="16" t="inlineStr">
        <is>
          <t>Dezimalwert, Zeitzone und langer Quellenname.</t>
        </is>
      </c>
      <c r="F51"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51" s="16" t="inlineStr">
        <is>
          <t>U007</t>
        </is>
      </c>
    </row>
    <row r="52" ht="117.75" customHeight="1" s="11">
      <c r="A52" s="15" t="inlineStr">
        <is>
          <t>T-U011-01</t>
        </is>
      </c>
      <c r="B52" s="15" t="inlineStr">
        <is>
          <t>Unterscheide fehlend, nach vereinbarter Regel veraltet und technisch nicht verfügbar. Aktualitätsschwellen stammen aus Konfiguration, nicht aus Modellvermutung.</t>
        </is>
      </c>
      <c r="C52" s="15" t="inlineStr">
        <is>
          <t>Metadaten + konfigurierter Stichtag → Datenzustand.</t>
        </is>
      </c>
      <c r="D52" s="15" t="inlineStr">
        <is>
          <t>Jeder Zustand hat Ursache und UI-Text; Grenzfall ist definiert.</t>
        </is>
      </c>
      <c r="E52" s="15" t="inlineStr">
        <is>
          <t>Fehlender Zeitstempel und Zeitpunkt genau an der Grenze.</t>
        </is>
      </c>
      <c r="F52"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52" s="15" t="inlineStr">
        <is>
          <t>U011</t>
        </is>
      </c>
    </row>
    <row r="53" ht="117.75" customHeight="1" s="11">
      <c r="A53" s="16" t="inlineStr">
        <is>
          <t>T-U011-02</t>
        </is>
      </c>
      <c r="B53" s="16" t="inlineStr">
        <is>
          <t>Implementiere die Zustandsprüfung als kleine deterministische Funktion und ergänze den Abruf um diese Metadaten.</t>
        </is>
      </c>
      <c r="C53" s="16" t="inlineStr">
        <is>
          <t>Abrufresultat → Einträge und Datenzustände.</t>
        </is>
      </c>
      <c r="D53" s="16" t="inlineStr">
        <is>
          <t>Null oder fehlend wird nicht zu Messwert null umgedeutet.</t>
        </is>
      </c>
      <c r="E53" s="16" t="inlineStr">
        <is>
          <t>Leere Liste, Adapterfehler und veralteter Wert.</t>
        </is>
      </c>
      <c r="F53"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53" s="16" t="inlineStr">
        <is>
          <t>U011</t>
        </is>
      </c>
    </row>
    <row r="54" ht="117.75" customHeight="1" s="11">
      <c r="A54" s="15" t="inlineStr">
        <is>
          <t>T-U011-03</t>
        </is>
      </c>
      <c r="B54" s="15" t="inlineStr">
        <is>
          <t>Zeige je Datenzustand einen verständlichen Hinweis, ohne daraus eine gesundheitliche Entwarnung abzuleiten.</t>
        </is>
      </c>
      <c r="C54" s="15" t="inlineStr">
        <is>
          <t>Zustand → Hinweis mit möglichem nächsten Bedienungsschritt.</t>
        </is>
      </c>
      <c r="D54" s="15" t="inlineStr">
        <is>
          <t>Fehlender Wert erscheint nicht als normaler Messwert; technische Fehler bleiben unterscheidbar.</t>
        </is>
      </c>
      <c r="E54" s="15" t="inlineStr">
        <is>
          <t>UI-Prüfung aller drei Zustände.</t>
        </is>
      </c>
      <c r="F54"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54" s="15" t="inlineStr">
        <is>
          <t>U011</t>
        </is>
      </c>
    </row>
    <row r="55" ht="117.75" customHeight="1" s="11">
      <c r="A55" s="16" t="inlineStr">
        <is>
          <t>T-U024-01</t>
        </is>
      </c>
      <c r="B55" s="16" t="inlineStr">
        <is>
          <t>Inventarisiere Chats, Profile, Imports und Verlaufsspeicher sowie Cache/Backup-Grenzen. Definiere den unterstützten Löschumfang der Demo.</t>
        </is>
      </c>
      <c r="C55" s="16" t="inlineStr">
        <is>
          <t>Speicherinventar → bestätigter Löschvertrag.</t>
        </is>
      </c>
      <c r="D55" s="16" t="inlineStr">
        <is>
          <t>Für jede Datenklasse sind Löschziel, Ausnahmen und verantwortlicher Speicher benannt.</t>
        </is>
      </c>
      <c r="E55" s="16" t="inlineStr">
        <is>
          <t>Kein Versprechen der Löschung externer Originalakten.</t>
        </is>
      </c>
      <c r="F55"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55" s="16" t="inlineStr">
        <is>
          <t>U024</t>
        </is>
      </c>
    </row>
    <row r="56" ht="117.75" customHeight="1" s="11">
      <c r="A56" s="15" t="inlineStr">
        <is>
          <t>T-U024-02</t>
        </is>
      </c>
      <c r="B56" s="15" t="inlineStr">
        <is>
          <t>Zeige Auswahl eigener Datenklassen und eine verständliche Bestätigung. Abbrechen führt zu keiner Änderung.</t>
        </is>
      </c>
      <c r="C56" s="15" t="inlineStr">
        <is>
          <t>Datenauswahl → bestätigter Löschauftrag.</t>
        </is>
      </c>
      <c r="D56" s="15" t="inlineStr">
        <is>
          <t>Auswahl ist explizit; Bestätigung enthält Umfang und verbleibende Grenzen.</t>
        </is>
      </c>
      <c r="E56" s="15" t="inlineStr">
        <is>
          <t>Abbrechen, leere Auswahl und einmaliges Bestätigen.</t>
        </is>
      </c>
      <c r="F56"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56" s="15" t="inlineStr">
        <is>
          <t>U024</t>
        </is>
      </c>
    </row>
    <row r="57" ht="117.75" customHeight="1" s="11">
      <c r="A57" s="16" t="inlineStr">
        <is>
          <t>T-U024-03</t>
        </is>
      </c>
      <c r="B57" s="16" t="inlineStr">
        <is>
          <t>Lösche die ausgewählten eigenen Anwendungsdaten über registrierte Speicheradapter. Mehrfachaufruf desselben Auftrags ist sicher.</t>
        </is>
      </c>
      <c r="C57" s="16" t="inlineStr">
        <is>
          <t>Nutzer + Auftrags-ID + Datenklassen → Status je Speicher.</t>
        </is>
      </c>
      <c r="D57" s="16" t="inlineStr">
        <is>
          <t>Fremde Daten bleiben erhalten; Teilausfälle werden als solche gemeldet.</t>
        </is>
      </c>
      <c r="E57" s="16" t="inlineStr">
        <is>
          <t>Zweiter Aufruf, fremde ID und ein fehlschlagender Speicheradapter.</t>
        </is>
      </c>
      <c r="F57"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57" s="16" t="inlineStr">
        <is>
          <t>U024</t>
        </is>
      </c>
    </row>
    <row r="58" ht="117.75" customHeight="1" s="11">
      <c r="A58" s="15" t="inlineStr">
        <is>
          <t>T-U024-04</t>
        </is>
      </c>
      <c r="B58" s="15" t="inlineStr">
        <is>
          <t>Zeige den tatsächlichen Abschlussstatus je Datenklasse. Entferne gelöschte Daten aus UI und Cache; ergänze später neue Speicheradapter im Inventar.</t>
        </is>
      </c>
      <c r="C58" s="15" t="inlineStr">
        <is>
          <t>Löschergebnis → Anzeige und Cache-Invalidierung.</t>
        </is>
      </c>
      <c r="D58" s="15" t="inlineStr">
        <is>
          <t>Erneuter Abruf gelöschter Daten bleibt leer; Fehler wird nicht als vollständig erledigt dargestellt.</t>
        </is>
      </c>
      <c r="E58" s="15" t="inlineStr">
        <is>
          <t>Neu laden, Teilfehler und isoliertes zweites Konto.</t>
        </is>
      </c>
      <c r="F58"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58" s="15" t="inlineStr">
        <is>
          <t>U024</t>
        </is>
      </c>
    </row>
    <row r="59" ht="117.75" customHeight="1" s="11">
      <c r="A59" s="16" t="inlineStr">
        <is>
          <t>T-U019-01</t>
        </is>
      </c>
      <c r="B59" s="16" t="inlineStr">
        <is>
          <t>Begrenze das erste Profil auf Alter, Allergien und Vorerkrankungen als Selbstauskunft mit Herkunft und Änderungszeit. Verwendung nur für Anzeige und PDF.</t>
        </is>
      </c>
      <c r="C59" s="16" t="inlineStr">
        <is>
          <t>Profilformular → versioniertes Profilobjekt.</t>
        </is>
      </c>
      <c r="D59" s="16" t="inlineStr">
        <is>
          <t>Selbstauskunft ist von importiertem Befund unterscheidbar; unbekannt ist kein negatives Ergebnis; keine Nutzung zur Bewertung.</t>
        </is>
      </c>
      <c r="E59" s="16" t="inlineStr">
        <is>
          <t>Unbekannte Allergieangabe gegenüber ausdrücklich verneint.</t>
        </is>
      </c>
      <c r="F59"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59" s="16" t="inlineStr">
        <is>
          <t>U019</t>
        </is>
      </c>
    </row>
    <row r="60" ht="117.75" customHeight="1" s="11">
      <c r="A60" s="15" t="inlineStr">
        <is>
          <t>T-U019-02</t>
        </is>
      </c>
      <c r="B60" s="15" t="inlineStr">
        <is>
          <t>Implementiere Lesen und Ändern des eigenen Profils mit Validierung und Schutz gegen verlorene gleichzeitige Änderungen.</t>
        </is>
      </c>
      <c r="C60" s="15" t="inlineStr">
        <is>
          <t>Eigene Profil-ID + Version + Änderungen → neue Version.</t>
        </is>
      </c>
      <c r="D60" s="15" t="inlineStr">
        <is>
          <t>Fremdzugriff scheitert; veraltete Änderung erhält Konfliktmeldung.</t>
        </is>
      </c>
      <c r="E60" s="15" t="inlineStr">
        <is>
          <t>Ungültiges Alter, Versionskonflikt und fremde ID.</t>
        </is>
      </c>
      <c r="F60"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60" s="15" t="inlineStr">
        <is>
          <t>U019</t>
        </is>
      </c>
    </row>
    <row r="61" ht="117.75" customHeight="1" s="11">
      <c r="A61" s="16" t="inlineStr">
        <is>
          <t>T-U019-03</t>
        </is>
      </c>
      <c r="B61" s="16" t="inlineStr">
        <is>
          <t>Baue Anzeige, Bearbeitung und Abbrechen für die drei Felder. Kennzeichne die Angaben als Selbstauskunft.</t>
        </is>
      </c>
      <c r="C61" s="16" t="inlineStr">
        <is>
          <t>Profilobjekt ↔ Formular.</t>
        </is>
      </c>
      <c r="D61" s="16" t="inlineStr">
        <is>
          <t>Nach Speichern und Reload bleiben Angaben konsistent; Abbrechen verändert nichts.</t>
        </is>
      </c>
      <c r="E61" s="16" t="inlineStr">
        <is>
          <t>Speichern, Abbrechen, Serverfehler.</t>
        </is>
      </c>
      <c r="F61"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61" s="16" t="inlineStr">
        <is>
          <t>U019</t>
        </is>
      </c>
    </row>
    <row r="62" ht="117.75" customHeight="1" s="11">
      <c r="A62" s="15" t="inlineStr">
        <is>
          <t>T-U019-04</t>
        </is>
      </c>
      <c r="B62" s="15" t="inlineStr">
        <is>
          <t>Registriere den Profilspeicher im Löschablauf. Profilangaben werden nicht an die Antworterzeugung zur Bewertung übergeben.</t>
        </is>
      </c>
      <c r="C62" s="15" t="inlineStr">
        <is>
          <t>Freigabestatus + Profil → erlaubter Kontext.</t>
        </is>
      </c>
      <c r="D62" s="15" t="inlineStr">
        <is>
          <t>Löschung entfernt Profil; Antworten bleiben ohne Profil unverändert allgemein.</t>
        </is>
      </c>
      <c r="E62" s="15" t="inlineStr">
        <is>
          <t>Freigabewechsel und Profil-Löschung im Integrationstest.</t>
        </is>
      </c>
      <c r="F62"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62" s="15" t="inlineStr">
        <is>
          <t>U019</t>
        </is>
      </c>
    </row>
    <row r="63" ht="117.75" customHeight="1" s="11">
      <c r="A63" s="16" t="inlineStr">
        <is>
          <t>T-U022-01</t>
        </is>
      </c>
      <c r="B63" s="16" t="inlineStr">
        <is>
          <t>Lege eine FHIR-Version, einen Ressourcentyp und erlaubte Dateigröße fest. Nur synthetische JSON-Dateien, keine PDFs oder Live-Synchronisierung.</t>
        </is>
      </c>
      <c r="C63" s="16" t="inlineStr">
        <is>
          <t>Datei → Importvertrag.</t>
        </is>
      </c>
      <c r="D63" s="16" t="inlineStr">
        <is>
          <t>Positiv- und Negativ-Fixtures liegen vor; JSON ohne unterstütztes FHIR-Schema ist ausgeschlossen.</t>
        </is>
      </c>
      <c r="E63" s="16" t="inlineStr">
        <is>
          <t>Falsche Version und nicht unterstützter Typ.</t>
        </is>
      </c>
      <c r="F63"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63" s="16" t="inlineStr">
        <is>
          <t>U022</t>
        </is>
      </c>
    </row>
    <row r="64" ht="117.75" customHeight="1" s="11">
      <c r="A64" s="15" t="inlineStr">
        <is>
          <t>T-U022-02</t>
        </is>
      </c>
      <c r="B64" s="15" t="inlineStr">
        <is>
          <t>Prüfe Dateigröße, parse JSON sicher und validiere Struktur vor jeder Übernahme.</t>
        </is>
      </c>
      <c r="C64" s="15" t="inlineStr">
        <is>
          <t>Upload → validierte Kandidaten oder Fehlerliste.</t>
        </is>
      </c>
      <c r="D64" s="15" t="inlineStr">
        <is>
          <t>Ungültige und übergroße Dateien verändern keinen Speicher.</t>
        </is>
      </c>
      <c r="E64" s="15" t="inlineStr">
        <is>
          <t>Ungültiges JSON, Größenlimit und fehlende Pflichtfelder.</t>
        </is>
      </c>
      <c r="F64"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64" s="15" t="inlineStr">
        <is>
          <t>U022</t>
        </is>
      </c>
    </row>
    <row r="65" ht="117.75" customHeight="1" s="11">
      <c r="A65" s="16" t="inlineStr">
        <is>
          <t>T-U022-03</t>
        </is>
      </c>
      <c r="B65" s="16" t="inlineStr">
        <is>
          <t>Prüfe Kandidaten gegen eigene Identität und vorhandene Quell-/Ressourcen-IDs. Zeige Konflikte statt still zu überschreiben.</t>
        </is>
      </c>
      <c r="C65" s="16" t="inlineStr">
        <is>
          <t>Kandidaten + eigene Bestände → Prüfresultat.</t>
        </is>
      </c>
      <c r="D65" s="16" t="inlineStr">
        <is>
          <t>Fremder Patientenbezug ist blockiert; erneuter Import ist als Dublette markiert.</t>
        </is>
      </c>
      <c r="E65" s="16" t="inlineStr">
        <is>
          <t>Fremde Patient-ID, gleiche ID und widersprüchlicher Inhalt.</t>
        </is>
      </c>
      <c r="F65"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65" s="16" t="inlineStr">
        <is>
          <t>U022</t>
        </is>
      </c>
    </row>
    <row r="66" ht="117.75" customHeight="1" s="11">
      <c r="A66" s="15" t="inlineStr">
        <is>
          <t>T-U022-04</t>
        </is>
      </c>
      <c r="B66" s="15" t="inlineStr">
        <is>
          <t>Zeige geprüfte Werte, Herkunft und Fehler vor Übernahme. Nur zulässige Kandidaten können bestätigt werden.</t>
        </is>
      </c>
      <c r="C66" s="15" t="inlineStr">
        <is>
          <t>Prüfresultat → bestätigte Auswahl.</t>
        </is>
      </c>
      <c r="D66" s="15" t="inlineStr">
        <is>
          <t>Abbrechen speichert nichts; Fehler sind einzelnen Kandidaten zugeordnet.</t>
        </is>
      </c>
      <c r="E66" s="15" t="inlineStr">
        <is>
          <t>Gemischte gültige/ungültige Datei und Abbruch.</t>
        </is>
      </c>
      <c r="F66"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66" s="15" t="inlineStr">
        <is>
          <t>U022</t>
        </is>
      </c>
    </row>
    <row r="67" ht="117.75" customHeight="1" s="11">
      <c r="A67" s="16" t="inlineStr">
        <is>
          <t>T-U022-05</t>
        </is>
      </c>
      <c r="B67" s="16" t="inlineStr">
        <is>
          <t>Speichere bestätigte Einträge getrennt von externen Originalakten und registriere sie für Freigabe und Löschung.</t>
        </is>
      </c>
      <c r="C67" s="16" t="inlineStr">
        <is>
          <t>Bestätigte Auswahl + Import-ID → gespeicherte Einträge.</t>
        </is>
      </c>
      <c r="D67" s="16" t="inlineStr">
        <is>
          <t>Wiederholte Bestätigung erzeugt keine Dublette; Herkunft bleibt erhalten.</t>
        </is>
      </c>
      <c r="E67" s="16" t="inlineStr">
        <is>
          <t>Doppelklick, Teilfehler und spätere Löschung.</t>
        </is>
      </c>
      <c r="F67"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67" s="16" t="inlineStr">
        <is>
          <t>U022</t>
        </is>
      </c>
    </row>
    <row r="68" ht="117.75" customHeight="1" s="11">
      <c r="A68" s="15" t="inlineStr">
        <is>
          <t>F014</t>
        </is>
      </c>
      <c r="B68" s="15" t="inlineStr">
        <is>
          <t>Vereinbare den Reviewprozess für knowledge/: Quelle, Version, Reviewer, Status. Nur allgemeine Inhalte gemäß D08.</t>
        </is>
      </c>
      <c r="C68" s="15" t="inlineStr">
        <is>
          <t>Regelentwurf → dokumentierte Freigabe.</t>
        </is>
      </c>
      <c r="D68" s="15" t="inlineStr">
        <is>
          <t>Prozess dokumentiert; Strukturcheck erzwingt Kopfdaten.</t>
        </is>
      </c>
      <c r="E68" s="15" t="inlineStr">
        <is>
          <t>Ein Entwurf bleibt technisch inaktiv.</t>
        </is>
      </c>
      <c r="F68"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68" s="15" t="inlineStr">
        <is>
          <t>B008</t>
        </is>
      </c>
    </row>
    <row r="69" ht="117.75" customHeight="1" s="11">
      <c r="A69" s="16" t="inlineStr">
        <is>
          <t>T-U015-01</t>
        </is>
      </c>
      <c r="B69" s="16" t="inlineStr">
        <is>
          <t>Definiere Antwort-ID, positiv/negativ und optionalen kurzen Kommentar. Speichere nur den für Review vereinbarten Kontext.</t>
        </is>
      </c>
      <c r="C69" s="16" t="inlineStr">
        <is>
          <t>Antwortbewertung → minimales Feedbackobjekt.</t>
        </is>
      </c>
      <c r="D69" s="16" t="inlineStr">
        <is>
          <t>Kein automatisches Training oder Prompt-Update wird ausgelöst.</t>
        </is>
      </c>
      <c r="E69" s="16" t="inlineStr">
        <is>
          <t>Kommentar fehlt oder überschreitet Längengrenze.</t>
        </is>
      </c>
      <c r="F69"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69" s="16" t="inlineStr">
        <is>
          <t>U015</t>
        </is>
      </c>
    </row>
    <row r="70" ht="117.75" customHeight="1" s="11">
      <c r="A70" s="15" t="inlineStr">
        <is>
          <t>T-U015-02</t>
        </is>
      </c>
      <c r="B70" s="15" t="inlineStr">
        <is>
          <t>Speichere Feedback zur eigenen Antwort und verhindere versehentliche Duplikate. Integriere den Speicher in U024.</t>
        </is>
      </c>
      <c r="C70" s="15" t="inlineStr">
        <is>
          <t>Eigene Antwort-ID + Feedback → Bestätigung.</t>
        </is>
      </c>
      <c r="D70" s="15" t="inlineStr">
        <is>
          <t>Fremde Antwort-ID ist gesperrt; wiederholte Bewertung folgt vereinbarter Änderungsregel.</t>
        </is>
      </c>
      <c r="E70" s="15" t="inlineStr">
        <is>
          <t>Doppelklick, fremde Antwort und Löschung.</t>
        </is>
      </c>
      <c r="F70"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70" s="15" t="inlineStr">
        <is>
          <t>U015</t>
        </is>
      </c>
    </row>
    <row r="71" ht="117.75" customHeight="1" s="11">
      <c r="A71" s="16" t="inlineStr">
        <is>
          <t>T-U015-03</t>
        </is>
      </c>
      <c r="B71" s="16" t="inlineStr">
        <is>
          <t>Baue zwei Bewertungsaktionen und einen optionalen Kommentar mit sichtbarer Speicherbestätigung.</t>
        </is>
      </c>
      <c r="C71" s="16" t="inlineStr">
        <is>
          <t>Antwortkarte → Feedbackaktion.</t>
        </is>
      </c>
      <c r="D71" s="16" t="inlineStr">
        <is>
          <t>Fehler erhält Eingabe; Bewertung kann nachvollziehbar geändert werden.</t>
        </is>
      </c>
      <c r="E71" s="16" t="inlineStr">
        <is>
          <t>Tastatur und Netzwerkausfall.</t>
        </is>
      </c>
      <c r="F71"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71" s="16" t="inlineStr">
        <is>
          <t>U015</t>
        </is>
      </c>
    </row>
    <row r="72" ht="117.75" customHeight="1" s="11">
      <c r="A72" s="15" t="inlineStr">
        <is>
          <t>T-U025-01</t>
        </is>
      </c>
      <c r="B72" s="15" t="inlineStr">
        <is>
          <t>Definiere einen flüchtigen Kontext aus bestätigten Angaben, offenen Fragen und einer begrenzten Nachrichtenhistorie.</t>
        </is>
      </c>
      <c r="C72" s="15" t="inlineStr">
        <is>
          <t>Sitzungs-ID → begrenztes Kontextobjekt.</t>
        </is>
      </c>
      <c r="D72" s="15" t="inlineStr">
        <is>
          <t>Zulässige Felder, Lebensdauer und Verhalten bei Kontextlimit sind dokumentiert.</t>
        </is>
      </c>
      <c r="E72" s="15" t="inlineStr">
        <is>
          <t>Neue Sitzung und ausgeschöpftes Kontextfenster.</t>
        </is>
      </c>
      <c r="F72"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72" s="15" t="inlineStr">
        <is>
          <t>U025</t>
        </is>
      </c>
    </row>
    <row r="73" ht="117.75" customHeight="1" s="11">
      <c r="A73" s="16" t="inlineStr">
        <is>
          <t>T-U025-02</t>
        </is>
      </c>
      <c r="B73" s="16" t="inlineStr">
        <is>
          <t>Lege den Kontext sitzungsisoliert ab und setze ihn bei neuem Chat zurück. Verwende keine globale gemeinsame Nachrichtenliste.</t>
        </is>
      </c>
      <c r="C73" s="16" t="inlineStr">
        <is>
          <t>Chat-ID + Ereignis → aktualisierter Kontext.</t>
        </is>
      </c>
      <c r="D73" s="16" t="inlineStr">
        <is>
          <t>Zwei parallele Chats beeinflussen sich nicht.</t>
        </is>
      </c>
      <c r="E73" s="16" t="inlineStr">
        <is>
          <t>Zwei Konten, zwei Chats und Reset.</t>
        </is>
      </c>
      <c r="F73"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73" s="16" t="inlineStr">
        <is>
          <t>U025</t>
        </is>
      </c>
    </row>
    <row r="74" ht="117.75" customHeight="1" s="11">
      <c r="A74" s="15" t="inlineStr">
        <is>
          <t>T-U025-03</t>
        </is>
      </c>
      <c r="B74" s="15" t="inlineStr">
        <is>
          <t>Übergebe nur freigegebene bestätigte Angaben an die Antworterzeugung. Weise bei verlorenen älteren Angaben auf erneuten Klärbedarf hin.</t>
        </is>
      </c>
      <c r="C74" s="15" t="inlineStr">
        <is>
          <t>Nachricht + Kontext → Modellrequest.</t>
        </is>
      </c>
      <c r="D74" s="15" t="inlineStr">
        <is>
          <t>Folgefrage nutzt bestätigte Angabe; abgeschnittener Kontext wird nicht erfunden.</t>
        </is>
      </c>
      <c r="E74" s="15" t="inlineStr">
        <is>
          <t>Bezug auf vorherige Angabe und Kontextlimit.</t>
        </is>
      </c>
      <c r="F74"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74" s="15" t="inlineStr">
        <is>
          <t>U025</t>
        </is>
      </c>
    </row>
    <row r="75" ht="117.75" customHeight="1" s="11">
      <c r="A75" s="16" t="inlineStr">
        <is>
          <t>T-U001-01</t>
        </is>
      </c>
      <c r="B75" s="16" t="inlineStr">
        <is>
          <t>Lasse eine kleine Liste von Warnzeichen-Stichworten mit einem festen allgemeinen Notfallhinweis (112, 116117) sowie eine allgemeine Übersicht, welche Stelle wofür zuständig ist, aus geprüfter Quelle fachlich freigeben. Ablage in knowledge/rules und knowledge/care_paths.</t>
        </is>
      </c>
      <c r="C75" s="16" t="inlineStr">
        <is>
          <t>Quellen → freigegebene Wissenseinträge mit Status geprueft.</t>
        </is>
      </c>
      <c r="D75" s="16" t="inlineStr">
        <is>
          <t>Jeder Eintrag hat ID, Quelle, Reviewer und Datum. Keine Einstufungsstufen (dringend/nicht dringend).</t>
        </is>
      </c>
      <c r="E75" s="16" t="inlineStr">
        <is>
          <t>Enthält dringlichen, nicht dringlichen und unklaren Fall.</t>
        </is>
      </c>
      <c r="F75"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75" s="16" t="inlineStr">
        <is>
          <t>U001</t>
        </is>
      </c>
    </row>
    <row r="76" ht="117.75" customHeight="1" s="11">
      <c r="A76" s="15" t="inlineStr">
        <is>
          <t>T-U001-02</t>
        </is>
      </c>
      <c r="B76" s="15" t="inlineStr">
        <is>
          <t>Extrahiere genannte Beschwerden und Verneinungen in ein validiertes Schema und gleiche sie mit der freigegebenen Stichwortliste ab. Unbekanntes bleibt unbekannt.</t>
        </is>
      </c>
      <c r="C76" s="15" t="inlineStr">
        <is>
          <t>Nachricht → Symptomobjekt.</t>
        </is>
      </c>
      <c r="D76" s="15" t="inlineStr">
        <is>
          <t>Verneinte Stichworte ("kein Fieber") lösen keinen Hinweis aus; Schema-Fehler führen zum Fallback.</t>
        </is>
      </c>
      <c r="E76" s="15" t="inlineStr">
        <is>
          <t>Negation, unklare Zeit und ungültiges JSON.</t>
        </is>
      </c>
      <c r="F76"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76" s="15" t="inlineStr">
        <is>
          <t>U001</t>
        </is>
      </c>
    </row>
    <row r="77" ht="117.75" customHeight="1" s="11">
      <c r="A77" s="16" t="inlineStr">
        <is>
          <t>T-U001-03</t>
        </is>
      </c>
      <c r="B77" s="16" t="inlineStr">
        <is>
          <t>Implementiere deterministisch: Enthält die Nachricht ein freigegebenes Warnzeichen-Stichwort, wird der feste Hinweistext ausgegeben. Keine Stufen, kein Modell in der Entscheidung.</t>
        </is>
      </c>
      <c r="C77" s="16" t="inlineStr">
        <is>
          <t>Erkannte Stichworte → fester Hinweistext mit Eintrags-ID.</t>
        </is>
      </c>
      <c r="D77" s="16" t="inlineStr">
        <is>
          <t>Gleiche Stichworte ergeben immer denselben Text; ohne Treffer kein Hinweis und keine Entwarnung.</t>
        </is>
      </c>
      <c r="E77" s="16" t="inlineStr">
        <is>
          <t>Alle freigegebenen Fixtures sowie fehlende Angaben.</t>
        </is>
      </c>
      <c r="F77"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77" s="16" t="inlineStr">
        <is>
          <t>U001</t>
        </is>
      </c>
    </row>
    <row r="78" ht="117.75" customHeight="1" s="11">
      <c r="A78" s="15" t="inlineStr">
        <is>
          <t>T-U001-04</t>
        </is>
      </c>
      <c r="B78" s="15" t="inlineStr">
        <is>
          <t>Zeige den festen Notfallhinweis vor jeder anderen Antwort an. Die allgemeine Information aus U009 folgt darunter.</t>
        </is>
      </c>
      <c r="C78" s="15" t="inlineStr">
        <is>
          <t>Regelentscheidung → priorisierte Chatantwort.</t>
        </is>
      </c>
      <c r="D78" s="15" t="inlineStr">
        <is>
          <t>Hinweis ist immer zuerst sichtbar; keine Formulierung bewertet die Lage der Person.</t>
        </is>
      </c>
      <c r="E78" s="15" t="inlineStr">
        <is>
          <t>Dringlicher und normaler Antwortpfad gleichzeitig vorbereitet.</t>
        </is>
      </c>
      <c r="F78"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78" s="15" t="inlineStr">
        <is>
          <t>U001</t>
        </is>
      </c>
    </row>
    <row r="79" ht="117.75" customHeight="1" s="11">
      <c r="A79" s="16" t="inlineStr">
        <is>
          <t>T-U001-05</t>
        </is>
      </c>
      <c r="B79" s="16" t="inlineStr">
        <is>
          <t>Teste Stichwort, verneintes Stichwort, unbekannte Beschwerde und Mehrfachnennung gegen Sollantworten in evals/answers.</t>
        </is>
      </c>
      <c r="C79" s="16" t="inlineStr">
        <is>
          <t>Testkatalog → protokollierte Ergebnisse.</t>
        </is>
      </c>
      <c r="D79" s="16" t="inlineStr">
        <is>
          <t>Keine Antwort enthält eine Dringlichkeitseinstufung, Diagnose oder Entwarnung.</t>
        </is>
      </c>
      <c r="E79" s="16" t="inlineStr">
        <is>
          <t>Review der Texte und Integrationstest mit unbekanntem Fall.</t>
        </is>
      </c>
      <c r="F79"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79" s="16" t="inlineStr">
        <is>
          <t>U001</t>
        </is>
      </c>
    </row>
    <row r="80" ht="117.75" customHeight="1" s="11">
      <c r="A80" s="15" t="inlineStr">
        <is>
          <t>T-U012-01</t>
        </is>
      </c>
      <c r="B80" s="15" t="inlineStr">
        <is>
          <t>Modelliere Korrektur mit Zielangabe, altem und neuem Wert sowie Bestätigungszustand. Unklare Ziele erfordern Rückfrage.</t>
        </is>
      </c>
      <c r="C80" s="15" t="inlineStr">
        <is>
          <t>Nutzernachricht → Korrekturvorschlag.</t>
        </is>
      </c>
      <c r="D80" s="15" t="inlineStr">
        <is>
          <t>Eine Korrektur kann nicht wahllos mehrere Angaben ersetzen.</t>
        </is>
      </c>
      <c r="E80" s="15" t="inlineStr">
        <is>
          <t>Zwei mögliche Zielangaben und klare Einzelkorrektur.</t>
        </is>
      </c>
      <c r="F80"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80" s="15" t="inlineStr">
        <is>
          <t>U012</t>
        </is>
      </c>
    </row>
    <row r="81" ht="117.75" customHeight="1" s="11">
      <c r="A81" s="16" t="inlineStr">
        <is>
          <t>T-U012-02</t>
        </is>
      </c>
      <c r="B81" s="16" t="inlineStr">
        <is>
          <t>Aktualisiere nur die gewählte eigene Angabe im Sitzungskontext; importierte Befunde bleiben unverändert.</t>
        </is>
      </c>
      <c r="C81" s="16" t="inlineStr">
        <is>
          <t>Bestätigtes Ereignis → neue Kontextversion.</t>
        </is>
      </c>
      <c r="D81" s="16" t="inlineStr">
        <is>
          <t>Folgeantwort nutzt den neuen Wert; Herkunft und Korrektur bleiben nachvollziehbar.</t>
        </is>
      </c>
      <c r="E81" s="16" t="inlineStr">
        <is>
          <t>Abbruch, alte Version und importierter Befund.</t>
        </is>
      </c>
      <c r="F81"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81" s="16" t="inlineStr">
        <is>
          <t>U012</t>
        </is>
      </c>
    </row>
    <row r="82" ht="117.75" customHeight="1" s="11">
      <c r="A82" s="15" t="inlineStr">
        <is>
          <t>T-U012-03</t>
        </is>
      </c>
      <c r="B82" s="15" t="inlineStr">
        <is>
          <t>Zeige alte und neue Angabe kurz zur Bestätigung und prüfe den gesamten Dialogablauf.</t>
        </is>
      </c>
      <c r="C82" s="15" t="inlineStr">
        <is>
          <t>Korrekturvorschlag → UI-Aktion.</t>
        </is>
      </c>
      <c r="D82" s="15" t="inlineStr">
        <is>
          <t>Nutzer kann bestätigen oder ablehnen; keine Änderung bei Ablehnung.</t>
        </is>
      </c>
      <c r="E82" s="15" t="inlineStr">
        <is>
          <t>End-to-End: missverstandene Dauer korrigieren und erneut fragen.</t>
        </is>
      </c>
      <c r="F82"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82" s="15" t="inlineStr">
        <is>
          <t>U012</t>
        </is>
      </c>
    </row>
    <row r="83" ht="117.75" customHeight="1" s="11">
      <c r="A83" s="16" t="inlineStr">
        <is>
          <t>T-U013-01</t>
        </is>
      </c>
      <c r="B83" s="16" t="inlineStr">
        <is>
          <t>Zerlege eine Nachricht in höchstens drei Anliegen mit Textbezug und eindeutiger ID. Mehr Anliegen führen zu einer Klärfrage.</t>
        </is>
      </c>
      <c r="C83" s="16" t="inlineStr">
        <is>
          <t>Nachricht → Liste von Anliegen.</t>
        </is>
      </c>
      <c r="D83" s="16" t="inlineStr">
        <is>
          <t>Kein Teil wird still verworfen; Negationen bleiben beim richtigen Anliegen.</t>
        </is>
      </c>
      <c r="E83" s="16" t="inlineStr">
        <is>
          <t>Ein, drei und vier Anliegen; Negation in einem Teil.</t>
        </is>
      </c>
      <c r="F83"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83" s="16" t="inlineStr">
        <is>
          <t>U013</t>
        </is>
      </c>
    </row>
    <row r="84" ht="117.75" customHeight="1" s="11">
      <c r="A84" s="15" t="inlineStr">
        <is>
          <t>T-U013-02</t>
        </is>
      </c>
      <c r="B84" s="15" t="inlineStr">
        <is>
          <t>Prüfe jedes Anliegen über den Stichwortabgleich aus U001. Bei Treffer steht der feste Hinweis vor allen Antwortabschnitten.</t>
        </is>
      </c>
      <c r="C84" s="15" t="inlineStr">
        <is>
          <t>Anliegenliste → priorisierte Ergebnisliste.</t>
        </is>
      </c>
      <c r="D84" s="15" t="inlineStr">
        <is>
          <t>Hinweis erscheint einmal und zuerst; keine Rangfolge nach Dringlichkeit.</t>
        </is>
      </c>
      <c r="E84" s="15" t="inlineStr">
        <is>
          <t>Gesundheitsfrage plus dringliche Beschwerde plus fachfremde Frage.</t>
        </is>
      </c>
      <c r="F84"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84" s="15" t="inlineStr">
        <is>
          <t>U013</t>
        </is>
      </c>
    </row>
    <row r="85" ht="117.75" customHeight="1" s="11">
      <c r="A85" s="16" t="inlineStr">
        <is>
          <t>T-U013-03</t>
        </is>
      </c>
      <c r="B85" s="16" t="inlineStr">
        <is>
          <t>Zeige klar zugeordnete Antwortabschnitte und markiere noch offene Anliegen.</t>
        </is>
      </c>
      <c r="C85" s="16" t="inlineStr">
        <is>
          <t>Ergebnisliste → strukturierte Chatansicht.</t>
        </is>
      </c>
      <c r="D85" s="16" t="inlineStr">
        <is>
          <t>Reihenfolge und Anliegenzuordnung sind nachvollziehbar.</t>
        </is>
      </c>
      <c r="E85" s="16" t="inlineStr">
        <is>
          <t>Teilantwort fehlt; Prioritätswechsel; lange Texte.</t>
        </is>
      </c>
      <c r="F85"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85" s="16" t="inlineStr">
        <is>
          <t>U013</t>
        </is>
      </c>
    </row>
    <row r="86" ht="117.75" customHeight="1" s="11">
      <c r="A86" s="15" t="inlineStr">
        <is>
          <t>T-U014-01</t>
        </is>
      </c>
      <c r="B86" s="15" t="inlineStr">
        <is>
          <t>Fasse bestätigte Beschwerden, Dauer und ausgewählte eigene Daten zusammen. Trenne Selbstauskunft und Messdaten mit Quelle. Keine Chatbot-Einschätzungen aufnehmen.</t>
        </is>
      </c>
      <c r="C86" s="15" t="inlineStr">
        <is>
          <t>Kontext + Datenauswahl → Zusammenfassungsobjekt.</t>
        </is>
      </c>
      <c r="D86" s="15" t="inlineStr">
        <is>
          <t>Zusammenfassung enthält nur Nutzerangaben und Daten; keine Bewertung oder Vermutung.</t>
        </is>
      </c>
      <c r="E86" s="15" t="inlineStr">
        <is>
          <t>Fehlende Dauer und widersprüchliche noch unbestätigte Angabe.</t>
        </is>
      </c>
      <c r="F86"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86" s="15" t="inlineStr">
        <is>
          <t>U014</t>
        </is>
      </c>
    </row>
    <row r="87" ht="117.75" customHeight="1" s="11">
      <c r="A87" s="16" t="inlineStr">
        <is>
          <t>T-U014-02</t>
        </is>
      </c>
      <c r="B87" s="16" t="inlineStr">
        <is>
          <t>Zeige eine editierbare Auswahl der aufzunehmenden Abschnitte und eine Vorschau vor Export.</t>
        </is>
      </c>
      <c r="C87" s="16" t="inlineStr">
        <is>
          <t>Zusammenfassung + Auswahl → freigegebene Exportansicht.</t>
        </is>
      </c>
      <c r="D87" s="16" t="inlineStr">
        <is>
          <t>Abgewählte Inhalte fehlen in der Vorschau; Änderungen betreffen nicht die Originalakte.</t>
        </is>
      </c>
      <c r="E87" s="16" t="inlineStr">
        <is>
          <t>Abschnitt abwählen, abbrechen und leere Zusammenfassung.</t>
        </is>
      </c>
      <c r="F87"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87" s="16" t="inlineStr">
        <is>
          <t>U014</t>
        </is>
      </c>
    </row>
    <row r="88" ht="117.75" customHeight="1" s="11">
      <c r="A88" s="15" t="inlineStr">
        <is>
          <t>T-U014-03</t>
        </is>
      </c>
      <c r="B88" s="15" t="inlineStr">
        <is>
          <t>Exportiere die freigegebene Darstellung mit Datum und Quellenhinweisen in eine herunterladbare PDF.</t>
        </is>
      </c>
      <c r="C88" s="15" t="inlineStr">
        <is>
          <t>Bestätigte Ansicht → PDF-Datei.</t>
        </is>
      </c>
      <c r="D88" s="15" t="inlineStr">
        <is>
          <t>Text ist lesbar, lange Inhalte umbrechen; keine automatische Übermittlung.</t>
        </is>
      </c>
      <c r="E88" s="15" t="inlineStr">
        <is>
          <t>Mehrseitige Zusammenfassung, Umlaute und leerer Abschnitt.</t>
        </is>
      </c>
      <c r="F88"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88" s="15" t="inlineStr">
        <is>
          <t>U014</t>
        </is>
      </c>
    </row>
    <row r="89" ht="117.75" customHeight="1" s="11">
      <c r="A89" s="16" t="inlineStr">
        <is>
          <t>T-U014-04</t>
        </is>
      </c>
      <c r="B89" s="16" t="inlineStr">
        <is>
          <t>Beschränke Export auf die eigene Sitzung und entferne temporäre Exportdateien gemäß festgelegtem Ablauf.</t>
        </is>
      </c>
      <c r="C89" s="16" t="inlineStr">
        <is>
          <t>Export-ID + Sitzung → Download oder Fehler.</t>
        </is>
      </c>
      <c r="D89" s="16" t="inlineStr">
        <is>
          <t>Fremder Exportzugriff scheitert; temporäre Dateien verbleiben nicht unkontrolliert.</t>
        </is>
      </c>
      <c r="E89" s="16" t="inlineStr">
        <is>
          <t>Abgelaufene Export-ID und anderes Konto.</t>
        </is>
      </c>
      <c r="F89"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89" s="16" t="inlineStr">
        <is>
          <t>U014</t>
        </is>
      </c>
    </row>
    <row r="90" ht="117.75" customHeight="1" s="11">
      <c r="A90" s="15" t="inlineStr">
        <is>
          <t>T-U021-01</t>
        </is>
      </c>
      <c r="B90" s="15" t="inlineStr">
        <is>
          <t>Definiere zunächst widersprüchliche Angaben zur selben Eigenschaft und zum selben Zeitpunkt. Zeitlich verschiedene Messungen sind nicht automatisch Konflikte.</t>
        </is>
      </c>
      <c r="C90" s="15" t="inlineStr">
        <is>
          <t>Zwei Angaben mit Herkunft und Zeit → Konfliktdefinition.</t>
        </is>
      </c>
      <c r="D90" s="15" t="inlineStr">
        <is>
          <t>Drei Konflikt- und drei Nichtkonflikt-Fixtures sind abgestimmt.</t>
        </is>
      </c>
      <c r="E90" s="15" t="inlineStr">
        <is>
          <t>Gleicher Messwerttyp an verschiedenen Tagen.</t>
        </is>
      </c>
      <c r="F90"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90" s="15" t="inlineStr">
        <is>
          <t>U021</t>
        </is>
      </c>
    </row>
    <row r="91" ht="117.75" customHeight="1" s="11">
      <c r="A91" s="16" t="inlineStr">
        <is>
          <t>T-U021-02</t>
        </is>
      </c>
      <c r="B91" s="16" t="inlineStr">
        <is>
          <t>Vergleiche normalisierte eigene Angaben ohne externe Befunde zu überschreiben. Erzeuge einen Konflikt mit beiden Quellen.</t>
        </is>
      </c>
      <c r="C91" s="16" t="inlineStr">
        <is>
          <t>Angabenpaar → Konflikt oder kein Konflikt.</t>
        </is>
      </c>
      <c r="D91" s="16" t="inlineStr">
        <is>
          <t>Konflikt enthält beide Werte; unterschiedliche Einheiten werden nicht ungeprüft verglichen.</t>
        </is>
      </c>
      <c r="E91" s="16" t="inlineStr">
        <is>
          <t>Einheitenkonflikt, gleiche Werte und fehlende Zeit.</t>
        </is>
      </c>
      <c r="F91"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91" s="16" t="inlineStr">
        <is>
          <t>U021</t>
        </is>
      </c>
    </row>
    <row r="92" ht="117.75" customHeight="1" s="11">
      <c r="A92" s="15" t="inlineStr">
        <is>
          <t>T-U021-03</t>
        </is>
      </c>
      <c r="B92" s="15" t="inlineStr">
        <is>
          <t>Zeige eine gezielte Frage und übernehme die bestätigte Selbstauskunft über U012. Ungeklärte Fälle bleiben markiert.</t>
        </is>
      </c>
      <c r="C92" s="15" t="inlineStr">
        <is>
          <t>Konflikt → Antwort/Bestätigung → Kontextänderung.</t>
        </is>
      </c>
      <c r="D92" s="15" t="inlineStr">
        <is>
          <t>Keine stille Auswahl; Ablehnung erhält beide Quellen.</t>
        </is>
      </c>
      <c r="E92" s="15" t="inlineStr">
        <is>
          <t>Bestätigen, unklar lassen und neue widersprüchliche Antwort.</t>
        </is>
      </c>
      <c r="F92"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92" s="15" t="inlineStr">
        <is>
          <t>U021</t>
        </is>
      </c>
    </row>
    <row r="93" ht="117.75" customHeight="1" s="11">
      <c r="A93" s="16" t="inlineStr">
        <is>
          <t>T-U006-01</t>
        </is>
      </c>
      <c r="B93" s="16" t="inlineStr">
        <is>
          <t>Beschränke die erste Analyse auf eine Messgröße und zwei nicht überlappende Zeiträume. Definiere Aggregation, Zeitzone und Mindestdatenregel.</t>
        </is>
      </c>
      <c r="C93" s="16" t="inlineStr">
        <is>
          <t>Messgröße + zwei Zeiträume → Analysevertrag.</t>
        </is>
      </c>
      <c r="D93" s="16" t="inlineStr">
        <is>
          <t>Berechnung und Umgang mit fehlenden Werten sind fachlich/technisch abgestimmt.</t>
        </is>
      </c>
      <c r="E93" s="16" t="inlineStr">
        <is>
          <t>Leerer Zeitraum und unterschiedliche Messhäufigkeit.</t>
        </is>
      </c>
      <c r="F93"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93" s="16" t="inlineStr">
        <is>
          <t>U006</t>
        </is>
      </c>
    </row>
    <row r="94" ht="117.75" customHeight="1" s="11">
      <c r="A94" s="15" t="inlineStr">
        <is>
          <t>T-U006-02</t>
        </is>
      </c>
      <c r="B94" s="15" t="inlineStr">
        <is>
          <t>Berechne die freigegebene Kennzahl, Differenz und Anzahl verwendeter Messungen außerhalb des LLM.</t>
        </is>
      </c>
      <c r="C94" s="15" t="inlineStr">
        <is>
          <t>Normalisierte Messungen → Vergleichsobjekt.</t>
        </is>
      </c>
      <c r="D94" s="15" t="inlineStr">
        <is>
          <t>Ergebnis ist mit handberechneten Fixtures identisch; keine erfundenen Ersatzwerte.</t>
        </is>
      </c>
      <c r="E94" s="15" t="inlineStr">
        <is>
          <t>Nullwert, fehlender Wert, Zeitgrenze und unterschiedliche Einheiten.</t>
        </is>
      </c>
      <c r="F94"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94" s="15" t="inlineStr">
        <is>
          <t>U006</t>
        </is>
      </c>
    </row>
    <row r="95" ht="117.75" customHeight="1" s="11">
      <c r="A95" s="16" t="inlineStr">
        <is>
          <t>T-U006-03</t>
        </is>
      </c>
      <c r="B95" s="16" t="inlineStr">
        <is>
          <t>Füge verwendete Ressourcen-IDs, Zeiträume, Einheiten und Datenlücken zum Vergleichsobjekt hinzu.</t>
        </is>
      </c>
      <c r="C95" s="16" t="inlineStr">
        <is>
          <t>Vergleich + Quellen → belegtes Analyseobjekt.</t>
        </is>
      </c>
      <c r="D95" s="16" t="inlineStr">
        <is>
          <t>Jedes Ergebnis lässt sich auf seine Eingabedaten zurückführen.</t>
        </is>
      </c>
      <c r="E95" s="16" t="inlineStr">
        <is>
          <t>Ausgefilterte Daten erscheinen nicht als verwendete Quellen.</t>
        </is>
      </c>
      <c r="F95"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95" s="16" t="inlineStr">
        <is>
          <t>U006</t>
        </is>
      </c>
    </row>
    <row r="96" ht="117.75" customHeight="1" s="11">
      <c r="A96" s="15" t="inlineStr">
        <is>
          <t>T-U006-04</t>
        </is>
      </c>
      <c r="B96" s="15" t="inlineStr">
        <is>
          <t>Lasse nur die berechneten Ergebnisse sprachlich erklären. Keine Begriffe wie normal, gut, schlecht, auffällig oder bedenklich.</t>
        </is>
      </c>
      <c r="C96" s="15" t="inlineStr">
        <is>
          <t>Analyseobjekt → Erklärung mit Unsicherheiten.</t>
        </is>
      </c>
      <c r="D96" s="15" t="inlineStr">
        <is>
          <t>Antwort enthält nur berechnete Zahlen, Zeiträume und Datenlücken; keine Bewertung, keine Ursache.</t>
        </is>
      </c>
      <c r="E96" s="15" t="inlineStr">
        <is>
          <t>Abweichende Modellzahl führt zu Fallback.</t>
        </is>
      </c>
      <c r="F96"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96" s="15" t="inlineStr">
        <is>
          <t>U006</t>
        </is>
      </c>
    </row>
    <row r="97" ht="117.75" customHeight="1" s="11">
      <c r="A97" s="16" t="inlineStr">
        <is>
          <t>T-U006-05</t>
        </is>
      </c>
      <c r="B97" s="16" t="inlineStr">
        <is>
          <t>Zeige Zeitraumwahl, Kennzahlen und Datenlücken. Keine Referenzbereiche und keine farbliche Bewertung von Werten.</t>
        </is>
      </c>
      <c r="C97" s="16" t="inlineStr">
        <is>
          <t>Analyseobjekt → Vergleichsansicht.</t>
        </is>
      </c>
      <c r="D97" s="16" t="inlineStr">
        <is>
          <t>Leerer Zeitraum liefert Hinweis; Quellen sind erreichbar; keine Referenzbereiche sichtbar.</t>
        </is>
      </c>
      <c r="E97" s="16" t="inlineStr">
        <is>
          <t>Gültiger Vergleich, fehlende Daten und nicht freigegebener Referenzbereich.</t>
        </is>
      </c>
      <c r="F97"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97" s="16" t="inlineStr">
        <is>
          <t>U006</t>
        </is>
      </c>
    </row>
    <row r="98" ht="117.75" customHeight="1" s="11">
      <c r="A98" s="15" t="inlineStr">
        <is>
          <t>T-U002-01</t>
        </is>
      </c>
      <c r="B98" s="15" t="inlineStr">
        <is>
          <t>Extrahiere berichtete Beschwerde und vermutete Ursache als getrennte Angaben inklusive Zeitbezug.</t>
        </is>
      </c>
      <c r="C98" s="15" t="inlineStr">
        <is>
          <t>Nachricht → Symptom und Hypothese mit Herkunft.</t>
        </is>
      </c>
      <c r="D98" s="15" t="inlineStr">
        <is>
          <t>Nutzervermutung wird nicht zur bestätigten Ursache umetikettiert.</t>
        </is>
      </c>
      <c r="E98" s="15" t="inlineStr">
        <is>
          <t>Bauchschmerz nach Essen; Nutzer nennt mehrere mögliche Auslöser.</t>
        </is>
      </c>
      <c r="F98"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98" s="15" t="inlineStr">
        <is>
          <t>U002</t>
        </is>
      </c>
    </row>
    <row r="99" ht="117.75" customHeight="1" s="11">
      <c r="A99" s="16" t="inlineStr">
        <is>
          <t>T-U002-02</t>
        </is>
      </c>
      <c r="B99" s="16" t="inlineStr">
        <is>
          <t>Wähle für einen fachlich freigegebenen Szenariotyp nur relevante eigene Daten; fehlende Angaben führen zur Rückfrage.</t>
        </is>
      </c>
      <c r="C99" s="16" t="inlineStr">
        <is>
          <t>Hypothese + freigegebene Daten → begrenzter Kontext.</t>
        </is>
      </c>
      <c r="D99" s="16" t="inlineStr">
        <is>
          <t>Keine vollständige Akte im Prompt; Auswahlregel und Quellen sind nachvollziehbar.</t>
        </is>
      </c>
      <c r="E99" s="16" t="inlineStr">
        <is>
          <t>Nicht relevante Daten und fehlender Zeitpunkt.</t>
        </is>
      </c>
      <c r="F99"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99" s="16" t="inlineStr">
        <is>
          <t>U002</t>
        </is>
      </c>
    </row>
    <row r="100" ht="117.75" customHeight="1" s="11">
      <c r="A100" s="15" t="inlineStr">
        <is>
          <t>T-U002-03</t>
        </is>
      </c>
      <c r="B100" s="15" t="inlineStr">
        <is>
          <t>Verbinde U001-Vorrang und geprüfte Informationsbausteine. Stelle die Vermutung als Möglichkeit dar und nenne die vereinbarten nächsten Schritte.</t>
        </is>
      </c>
      <c r="C100" s="15" t="inlineStr">
        <is>
          <t>Hypothese + Kontext → begrenzte Erklärung.</t>
        </is>
      </c>
      <c r="D100" s="15" t="inlineStr">
        <is>
          <t>Keine gesicherte Kausaldiagnose; erkannte Dringlichkeit hat Vorrang.</t>
        </is>
      </c>
      <c r="E100" s="15" t="inlineStr">
        <is>
          <t>Unbelegte Ursache, widersprechende Zeitangabe und dringlicher Fall.</t>
        </is>
      </c>
      <c r="F100"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00" s="15" t="inlineStr">
        <is>
          <t>U002</t>
        </is>
      </c>
    </row>
    <row r="101" ht="117.75" customHeight="1" s="11">
      <c r="A101" s="16" t="inlineStr">
        <is>
          <t>T-U003-01</t>
        </is>
      </c>
      <c r="B101" s="16" t="inlineStr">
        <is>
          <t>Modelliere berichtete Ereignisse und Symptome getrennt mit Zeitpunkt oder unbekanntem Zeitbezug.</t>
        </is>
      </c>
      <c r="C101" s="16" t="inlineStr">
        <is>
          <t>Nachricht → Ereignis-/Symptomliste.</t>
        </is>
      </c>
      <c r="D101" s="16" t="inlineStr">
        <is>
          <t>Zeitliche Nähe wird nicht automatisch als Ursache gespeichert.</t>
        </is>
      </c>
      <c r="E101" s="16" t="inlineStr">
        <is>
          <t>Gestoßener Zeh, Fußschmerz und Übelkeit ohne gemeinsamen Zeitbezug.</t>
        </is>
      </c>
      <c r="F101"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01" s="16" t="inlineStr">
        <is>
          <t>U003</t>
        </is>
      </c>
    </row>
    <row r="102" ht="117.75" customHeight="1" s="11">
      <c r="A102" s="15" t="inlineStr">
        <is>
          <t>T-U003-02</t>
        </is>
      </c>
      <c r="B102" s="15" t="inlineStr">
        <is>
          <t>Stelle für einen ausgewählten Demo-Fall höchstens eine Rückfrage je Schritt zu Beginn und Verlauf.</t>
        </is>
      </c>
      <c r="C102" s="15" t="inlineStr">
        <is>
          <t>Ereignisliste → offene Beziehung und Rückfrage.</t>
        </is>
      </c>
      <c r="D102" s="15" t="inlineStr">
        <is>
          <t>Unbekannte Beziehungen bleiben offen; keine erzwungene Zusammenfassung.</t>
        </is>
      </c>
      <c r="E102" s="15" t="inlineStr">
        <is>
          <t>Zwei unabhängige Beschwerden und widersprüchliche Antwort.</t>
        </is>
      </c>
      <c r="F102"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02" s="15" t="inlineStr">
        <is>
          <t>U003</t>
        </is>
      </c>
    </row>
    <row r="103" ht="117.75" customHeight="1" s="11">
      <c r="A103" s="16" t="inlineStr">
        <is>
          <t>T-U003-03</t>
        </is>
      </c>
      <c r="B103" s="16" t="inlineStr">
        <is>
          <t>Nutze U013 für getrennte Anliegen und U001 für Priorität. Erkläre nur fachlich freigegebene mögliche Zusammenhänge.</t>
        </is>
      </c>
      <c r="C103" s="16" t="inlineStr">
        <is>
          <t>Bestätigter Kontext → getrennte Antwortabschnitte.</t>
        </is>
      </c>
      <c r="D103" s="16" t="inlineStr">
        <is>
          <t>Antwort unterscheidet mögliche Beziehung und unabhängige Abklärung.</t>
        </is>
      </c>
      <c r="E103" s="16" t="inlineStr">
        <is>
          <t>Keine Belege für Zusammenhang sowie priorisiertes Warnzeichen.</t>
        </is>
      </c>
      <c r="F103"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03" s="16" t="inlineStr">
        <is>
          <t>U003</t>
        </is>
      </c>
    </row>
    <row r="104" ht="117.75" customHeight="1" s="11">
      <c r="A104" s="15" t="inlineStr">
        <is>
          <t>T-U003-04</t>
        </is>
      </c>
      <c r="B104" s="15" t="inlineStr">
        <is>
          <t>Vergleiche sechs synthetische Mehrfachfälle mit abgestimmten Sollantworten und protokolliere Fehler.</t>
        </is>
      </c>
      <c r="C104" s="15" t="inlineStr">
        <is>
          <t>Versionierter Fallsatz → Reviewprotokoll.</t>
        </is>
      </c>
      <c r="D104" s="15" t="inlineStr">
        <is>
          <t>Kein Fall wird ohne Beleg als eindeutige gemeinsame Ursache ausgegeben.</t>
        </is>
      </c>
      <c r="E104" s="15" t="inlineStr">
        <is>
          <t>Fehlende Zeit, Negation, Korrektur und widersprüchliche Angaben.</t>
        </is>
      </c>
      <c r="F104"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04" s="15" t="inlineStr">
        <is>
          <t>U003</t>
        </is>
      </c>
    </row>
    <row r="105" ht="117.75" customHeight="1" s="11">
      <c r="A105" s="16" t="inlineStr">
        <is>
          <t>T-U008-01</t>
        </is>
      </c>
      <c r="B105" s="16" t="inlineStr">
        <is>
          <t>Wähle ein allgemeines Vorsorgeangebot und lasse die allgemeine Beschreibung fachlich freigeben (knowledge/topics).</t>
        </is>
      </c>
      <c r="C105" s="16" t="inlineStr">
        <is>
          <t>Themen-ID → geprüfter Wissenseintrag.</t>
        </is>
      </c>
      <c r="D105" s="16" t="inlineStr">
        <is>
          <t>Eintrag ist allgemein formuliert; kein Krankheitsausschluss, keine individuelle Empfehlung.</t>
        </is>
      </c>
      <c r="E105" s="16" t="inlineStr">
        <is>
          <t>Anfrage nach Garantie, nicht krank zu sein.</t>
        </is>
      </c>
      <c r="F105"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05" s="16" t="inlineStr">
        <is>
          <t>U008</t>
        </is>
      </c>
    </row>
    <row r="106" ht="117.75" customHeight="1" s="11">
      <c r="A106" s="15" t="inlineStr">
        <is>
          <t>T-U008-02</t>
        </is>
      </c>
      <c r="B106" s="15" t="inlineStr">
        <is>
          <t>Route allgemeine Vorsorgefragen zum Wissenseintrag. Geschilderte Beschwerden laufen über den Stichwortabgleich aus U001 und erhalten allgemeine Information aus U009.</t>
        </is>
      </c>
      <c r="C106" s="15" t="inlineStr">
        <is>
          <t>Anfrage → Vorsorge- oder Symptomroute.</t>
        </is>
      </c>
      <c r="D106" s="15" t="inlineStr">
        <is>
          <t>Eine Beschwerde wird nicht nur mit Vorsorgeinformation beantwortet; keine individuelle Abklärungsempfehlung.</t>
        </is>
      </c>
      <c r="E106" s="15" t="inlineStr">
        <is>
          <t>Allgemeine Früherkennung versus aktuelle Beschwerden.</t>
        </is>
      </c>
      <c r="F106"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06" s="15" t="inlineStr">
        <is>
          <t>U008</t>
        </is>
      </c>
    </row>
    <row r="107" ht="117.75" customHeight="1" s="11">
      <c r="A107" s="16" t="inlineStr">
        <is>
          <t>T-U008-03</t>
        </is>
      </c>
      <c r="B107" s="16" t="inlineStr">
        <is>
          <t>Erkläre das freigegebene Vorsorgeangebot allgemein (wer, wie oft laut Quelle, wo nachfragen) und verweise auf die Arztpraxis.</t>
        </is>
      </c>
      <c r="C107" s="16" t="inlineStr">
        <is>
          <t>Themenkontext → Erklärung offener Informationen.</t>
        </is>
      </c>
      <c r="D107" s="16" t="inlineStr">
        <is>
          <t>Keine Aussage, ob die Person selbst etwas abklären lassen sollte.</t>
        </is>
      </c>
      <c r="E107" s="16" t="inlineStr">
        <is>
          <t>Fehlende Daten, Wunsch nach Ausschlussgarantie und unbekanntes Thema.</t>
        </is>
      </c>
      <c r="F107"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07" s="16" t="inlineStr">
        <is>
          <t>U008</t>
        </is>
      </c>
    </row>
    <row r="108" ht="117.75" customHeight="1" s="11">
      <c r="A108" s="15" t="inlineStr">
        <is>
          <t>T-U018-01</t>
        </is>
      </c>
      <c r="B108" s="15" t="inlineStr">
        <is>
          <t>Definiere Name, optionale Menge/Einheit, Einnahmezeit und Herkunft als Selbstauskunft; fehlende Werte bleiben offen.</t>
        </is>
      </c>
      <c r="C108" s="15" t="inlineStr">
        <is>
          <t>Nutzereingabe → Medikationsvorschlag.</t>
        </is>
      </c>
      <c r="D108" s="15" t="inlineStr">
        <is>
          <t>Kein automatischer Arzneimittelabgleich oder Interaktionsbefund.</t>
        </is>
      </c>
      <c r="E108" s="15" t="inlineStr">
        <is>
          <t>Unbekannter Produktname und fehlende Menge.</t>
        </is>
      </c>
      <c r="F108"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08" s="15" t="inlineStr">
        <is>
          <t>U018</t>
        </is>
      </c>
    </row>
    <row r="109" ht="117.75" customHeight="1" s="11">
      <c r="A109" s="16" t="inlineStr">
        <is>
          <t>T-U018-02</t>
        </is>
      </c>
      <c r="B109" s="16" t="inlineStr">
        <is>
          <t>Zeige erfasste Angaben zur Bestätigung oder Korrektur. Erst bestätigte Angaben werden Kontext.</t>
        </is>
      </c>
      <c r="C109" s="16" t="inlineStr">
        <is>
          <t>Vorschlag → bestätigte Selbstauskunft.</t>
        </is>
      </c>
      <c r="D109" s="16" t="inlineStr">
        <is>
          <t>Eine Erwähnung im hypothetischen Satz ist keine bestätigte Einnahme.</t>
        </is>
      </c>
      <c r="E109" s="16" t="inlineStr">
        <is>
          <t>Negierte Einnahme, hypothetische Frage und Korrektur.</t>
        </is>
      </c>
      <c r="F109"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09" s="16" t="inlineStr">
        <is>
          <t>U018</t>
        </is>
      </c>
    </row>
    <row r="110" ht="117.75" customHeight="1" s="11">
      <c r="A110" s="15" t="inlineStr">
        <is>
          <t>T-U018-03</t>
        </is>
      </c>
      <c r="B110" s="15" t="inlineStr">
        <is>
          <t>Ergänze bestätigte Angaben für Rückfragen und ärztliche/pharmazeutische Gesprächsvorbereitung. Nutze bestehende Freigabe und Löschung.</t>
        </is>
      </c>
      <c r="C110" s="15" t="inlineStr">
        <is>
          <t>Freigegebene Angaben → Kontextabschnitt.</t>
        </is>
      </c>
      <c r="D110" s="15" t="inlineStr">
        <is>
          <t>Keine Therapieänderung oder automatische Wechselwirkungsdiagnose.</t>
        </is>
      </c>
      <c r="E110" s="15" t="inlineStr">
        <is>
          <t>Widerruf, unbekannte Dosis und spätere Korrektur.</t>
        </is>
      </c>
      <c r="F110"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10" s="15" t="inlineStr">
        <is>
          <t>U018</t>
        </is>
      </c>
    </row>
    <row r="111" ht="117.75" customHeight="1" s="11">
      <c r="A111" s="16" t="inlineStr">
        <is>
          <t>T-U020-01</t>
        </is>
      </c>
      <c r="B111" s="16" t="inlineStr">
        <is>
          <t>Definiere Symptomtext, Zeitpunkt, Dauer und subjektive Stärke mit eindeutig beschrifteter Skala.</t>
        </is>
      </c>
      <c r="C111" s="16" t="inlineStr">
        <is>
          <t>Formulardaten → validierter Verlaufseintrag.</t>
        </is>
      </c>
      <c r="D111" s="16" t="inlineStr">
        <is>
          <t>Skala und unbekannte Werte sind erklärt; kein klinischer Score wird behauptet.</t>
        </is>
      </c>
      <c r="E111" s="16" t="inlineStr">
        <is>
          <t>Fehlende Dauer und Stärke außerhalb der Skala.</t>
        </is>
      </c>
      <c r="F111"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11" s="16" t="inlineStr">
        <is>
          <t>U020</t>
        </is>
      </c>
    </row>
    <row r="112" ht="117.75" customHeight="1" s="11">
      <c r="A112" s="15" t="inlineStr">
        <is>
          <t>T-U020-02</t>
        </is>
      </c>
      <c r="B112" s="15" t="inlineStr">
        <is>
          <t>Implementiere Anlegen, Lesen und Korrigieren mit Nutzerbindung und Änderungszeit.</t>
        </is>
      </c>
      <c r="C112" s="15" t="inlineStr">
        <is>
          <t>Nutzer + Eintrag → gespeicherte Version.</t>
        </is>
      </c>
      <c r="D112" s="15" t="inlineStr">
        <is>
          <t>Fremde Einträge sind geschützt; Korrektur ist nachvollziehbar.</t>
        </is>
      </c>
      <c r="E112" s="15" t="inlineStr">
        <is>
          <t>Fremde ID und konkurrierende Änderungen.</t>
        </is>
      </c>
      <c r="F112"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12" s="15" t="inlineStr">
        <is>
          <t>U020</t>
        </is>
      </c>
    </row>
    <row r="113" ht="117.75" customHeight="1" s="11">
      <c r="A113" s="16" t="inlineStr">
        <is>
          <t>T-U020-03</t>
        </is>
      </c>
      <c r="B113" s="16" t="inlineStr">
        <is>
          <t>Zeige Einträge chronologisch mit Filter und klaren Zeitangaben. Keine Kausalinterpretation in der Liste.</t>
        </is>
      </c>
      <c r="C113" s="16" t="inlineStr">
        <is>
          <t>Einträge + Zeitraum → Verlaufsliste.</t>
        </is>
      </c>
      <c r="D113" s="16" t="inlineStr">
        <is>
          <t>Zeitraumfilter enthält die vereinbarten Grenzen; leere Liste ist verständlich.</t>
        </is>
      </c>
      <c r="E113" s="16" t="inlineStr">
        <is>
          <t>Gleicher Zeitpunkt, Zeitzone und leerer Zeitraum.</t>
        </is>
      </c>
      <c r="F113"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13" s="16" t="inlineStr">
        <is>
          <t>U020</t>
        </is>
      </c>
    </row>
    <row r="114" ht="117.75" customHeight="1" s="11">
      <c r="A114" s="15" t="inlineStr">
        <is>
          <t>T-U020-04</t>
        </is>
      </c>
      <c r="B114" s="15" t="inlineStr">
        <is>
          <t>Registriere den Speicher in U024 und prüfe Freigabe vor weiterer Analyse.</t>
        </is>
      </c>
      <c r="C114" s="15" t="inlineStr">
        <is>
          <t>Freigabe + Verlauf → erlaubte Datenauswahl.</t>
        </is>
      </c>
      <c r="D114" s="15" t="inlineStr">
        <is>
          <t>Gelöschte oder widerrufene Einträge gelangen nicht in neue Analyseaufrufe.</t>
        </is>
      </c>
      <c r="E114" s="15" t="inlineStr">
        <is>
          <t>Löschen, Widerrufen und erneuter Abruf.</t>
        </is>
      </c>
      <c r="F114"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14" s="15" t="inlineStr">
        <is>
          <t>U020</t>
        </is>
      </c>
    </row>
    <row r="115" ht="117.75" customHeight="1" s="11">
      <c r="A115" s="16" t="inlineStr">
        <is>
          <t>T-U016-01</t>
        </is>
      </c>
      <c r="B115" s="16" t="inlineStr">
        <is>
          <t>Begrenze Erinnerungen auf selbst gewählte Messgröße und Intervall innerhalb der App. Keine medizinisch automatisch bestimmten Intervalle.</t>
        </is>
      </c>
      <c r="C115" s="16" t="inlineStr">
        <is>
          <t>Eigene Auswahl → Erinnerungsregel.</t>
        </is>
      </c>
      <c r="D115" s="16" t="inlineStr">
        <is>
          <t>Regel enthält Aktivstatus, Zeitzone und Fälligkeit.</t>
        </is>
      </c>
      <c r="E115" s="16" t="inlineStr">
        <is>
          <t>Zeitumstellung und ungültiges Intervall.</t>
        </is>
      </c>
      <c r="F115"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15" s="16" t="inlineStr">
        <is>
          <t>U016</t>
        </is>
      </c>
    </row>
    <row r="116" ht="117.75" customHeight="1" s="11">
      <c r="A116" s="15" t="inlineStr">
        <is>
          <t>T-U016-02</t>
        </is>
      </c>
      <c r="B116" s="15" t="inlineStr">
        <is>
          <t>Implementiere eigene Regeln und deterministische Fälligkeitsberechnung ohne Push-/E-Mail-Dienst.</t>
        </is>
      </c>
      <c r="C116" s="15" t="inlineStr">
        <is>
          <t>Regel + aktuelle Zeit → fällig oder nicht fällig.</t>
        </is>
      </c>
      <c r="D116" s="15" t="inlineStr">
        <is>
          <t>Deaktivierte Regel erzeugt keinen Hinweis; fremde Regeln bleiben verborgen.</t>
        </is>
      </c>
      <c r="E116" s="15" t="inlineStr">
        <is>
          <t>Fake-Uhr, deaktiviert und zweites Konto.</t>
        </is>
      </c>
      <c r="F116"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16" s="15" t="inlineStr">
        <is>
          <t>U016</t>
        </is>
      </c>
    </row>
    <row r="117" ht="117.75" customHeight="1" s="11">
      <c r="A117" s="16" t="inlineStr">
        <is>
          <t>T-U016-03</t>
        </is>
      </c>
      <c r="B117" s="16" t="inlineStr">
        <is>
          <t>Zeige fälligen Hinweis mit Erledigen, Ändern und Abschalten. Binde gespeicherte Regeln in U024 ein.</t>
        </is>
      </c>
      <c r="C117" s="16" t="inlineStr">
        <is>
          <t>Fälligkeit → In-App-Hinweis.</t>
        </is>
      </c>
      <c r="D117" s="16" t="inlineStr">
        <is>
          <t>Abschalten wirkt sofort und bleibt nach Reload bestehen.</t>
        </is>
      </c>
      <c r="E117" s="16" t="inlineStr">
        <is>
          <t>Erledigen, Reload und Löschen der Regel.</t>
        </is>
      </c>
      <c r="F117"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17" s="16" t="inlineStr">
        <is>
          <t>U016</t>
        </is>
      </c>
    </row>
    <row r="118" ht="117.75" customHeight="1" s="11">
      <c r="A118" s="15" t="inlineStr">
        <is>
          <t>T-U030-01</t>
        </is>
      </c>
      <c r="B118" s="15" t="inlineStr">
        <is>
          <t>Wähle ein allgemeines Ernährungsthema (z. B. eisenreiche Lebensmittel) und lasse die allgemeine Information freigeben. Kein Bezug zu Erkrankungen oder Laborwerten.</t>
        </is>
      </c>
      <c r="C118" s="15" t="inlineStr">
        <is>
          <t>Thema → freigegebene Informationsbausteine.</t>
        </is>
      </c>
      <c r="D118" s="15" t="inlineStr">
        <is>
          <t>Eintrag freigegeben; keine Diätpläne, Dosierungen oder Erfolgsgarantien.</t>
        </is>
      </c>
      <c r="E118" s="15" t="inlineStr">
        <is>
          <t>Anfrage nach krankheitsspezifischem Diätplan.</t>
        </is>
      </c>
      <c r="F118"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18" s="15" t="inlineStr">
        <is>
          <t>U030</t>
        </is>
      </c>
    </row>
    <row r="119" ht="117.75" customHeight="1" s="11">
      <c r="A119" s="16" t="inlineStr">
        <is>
          <t>T-U030-02</t>
        </is>
      </c>
      <c r="B119" s="16" t="inlineStr">
        <is>
          <t>Übernehme bestätigte eigene Essensangaben und ein Ziel als Gesprächskontext. Nicht vorhandene Mengen werden nicht geschätzt.</t>
        </is>
      </c>
      <c r="C119" s="16" t="inlineStr">
        <is>
          <t>Bestätigte Angaben → Ernährungskontext.</t>
        </is>
      </c>
      <c r="D119" s="16" t="inlineStr">
        <is>
          <t>Unbekannte Mengen bleiben unbekannt; Herkunft ist sichtbar.</t>
        </is>
      </c>
      <c r="E119" s="16" t="inlineStr">
        <is>
          <t>Unvollständige Mahlzeit und hypothetische Lebensmittelangabe.</t>
        </is>
      </c>
      <c r="F119"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19" s="16" t="inlineStr">
        <is>
          <t>U030</t>
        </is>
      </c>
    </row>
    <row r="120" ht="117.75" customHeight="1" s="11">
      <c r="A120" s="15" t="inlineStr">
        <is>
          <t>T-U030-03</t>
        </is>
      </c>
      <c r="B120" s="15" t="inlineStr">
        <is>
          <t>Verbinde freigegebene allgemeine Information mit dem selbst gesetzten Ziel und Fragen für eine Ernährungsberatung.</t>
        </is>
      </c>
      <c r="C120" s="15" t="inlineStr">
        <is>
          <t>Kontext + Informationspaket → Erklärung.</t>
        </is>
      </c>
      <c r="D120" s="15" t="inlineStr">
        <is>
          <t>Keine erfundenen Nährwerte, keine Ableitung aus Laborwerten.</t>
        </is>
      </c>
      <c r="E120" s="15" t="inlineStr">
        <is>
          <t>Allergiehinweis, fehlende Mengen und unbekanntes Thema.</t>
        </is>
      </c>
      <c r="F120"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20" s="15" t="inlineStr">
        <is>
          <t>U030</t>
        </is>
      </c>
    </row>
    <row r="121" ht="117.75" customHeight="1" s="11">
      <c r="A121" s="16" t="inlineStr">
        <is>
          <t>T-U031-01</t>
        </is>
      </c>
      <c r="B121" s="16" t="inlineStr">
        <is>
          <t>Definiere mit fachlicher Betreuung, wie bekannte Ausgangswerte und Erkrankungen bei einer ausgewählten Messgröße berücksichtigt werden dürfen.</t>
        </is>
      </c>
      <c r="C121" s="16" t="inlineStr">
        <is>
          <t>Messgröße + Kontext → geprüfte Regelversion.</t>
        </is>
      </c>
      <c r="D121" s="16" t="inlineStr">
        <is>
          <t>Bekannte Erkrankung bedeutet nicht automatisch harmlos; Freigabe ist dokumentiert.</t>
        </is>
      </c>
      <c r="E121" s="16" t="inlineStr">
        <is>
          <t>Neue Veränderung trotz bekannter Vorerkrankung.</t>
        </is>
      </c>
      <c r="F121"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21" s="16" t="inlineStr">
        <is>
          <t>U031</t>
        </is>
      </c>
    </row>
    <row r="122" ht="117.75" customHeight="1" s="11">
      <c r="A122" s="15" t="inlineStr">
        <is>
          <t>T-U031-02</t>
        </is>
      </c>
      <c r="B122" s="15" t="inlineStr">
        <is>
          <t>Ermittle vergleichbare Werte mit Zeit, Einheit und Herkunft. Fehlende Baseline bleibt als fehlend markiert.</t>
        </is>
      </c>
      <c r="C122" s="15" t="inlineStr">
        <is>
          <t>Eigene Messdaten → Baseline-/Aktuell-Paar oder fehlend.</t>
        </is>
      </c>
      <c r="D122" s="15" t="inlineStr">
        <is>
          <t>Nicht vergleichbare Einheiten oder Zeiträume werden nicht gleichgesetzt.</t>
        </is>
      </c>
      <c r="E122" s="15" t="inlineStr">
        <is>
          <t>Fehlende Baseline, andere Einheit und veraltete Werte.</t>
        </is>
      </c>
      <c r="F122"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22" s="15" t="inlineStr">
        <is>
          <t>U031</t>
        </is>
      </c>
    </row>
    <row r="123" ht="117.75" customHeight="1" s="11">
      <c r="A123" s="16" t="inlineStr">
        <is>
          <t>T-U031-03</t>
        </is>
      </c>
      <c r="B123" s="16" t="inlineStr">
        <is>
          <t>Nutze die freigegebene Regelversion, zeige Unsicherheit und erhalte den Vorrang von U001.</t>
        </is>
      </c>
      <c r="C123" s="16" t="inlineStr">
        <is>
          <t>Wertepaar + Profilkontext → Erklärung.</t>
        </is>
      </c>
      <c r="D123" s="16" t="inlineStr">
        <is>
          <t>Keine pauschale Normalisierung aufgrund der Diagnose; Regel- und Quellenbezug vorhanden.</t>
        </is>
      </c>
      <c r="E123" s="16" t="inlineStr">
        <is>
          <t>Bekannte Abweichung, neue Veränderung und fehlende Daten.</t>
        </is>
      </c>
      <c r="F123"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23" s="16" t="inlineStr">
        <is>
          <t>U031</t>
        </is>
      </c>
    </row>
    <row r="124" ht="117.75" customHeight="1" s="11">
      <c r="A124" s="15" t="inlineStr">
        <is>
          <t>T-U029-01</t>
        </is>
      </c>
      <c r="B124" s="15" t="inlineStr">
        <is>
          <t>Wähle ein allgemeines Bewegungsthema mit freigegebener Lifestyle-Information. Kein Bezug zu Erkrankungen.</t>
        </is>
      </c>
      <c r="C124" s="15" t="inlineStr">
        <is>
          <t>Thema → geprüftes Informationspaket.</t>
        </is>
      </c>
      <c r="D124" s="15" t="inlineStr">
        <is>
          <t>Eintrag freigegeben; keine individuelle Belastungsfreigabe.</t>
        </is>
      </c>
      <c r="E124" s="15" t="inlineStr">
        <is>
          <t>Anfrage nach garantierter sicherer Belastungsgrenze.</t>
        </is>
      </c>
      <c r="F124"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24" s="15" t="inlineStr">
        <is>
          <t>U029</t>
        </is>
      </c>
    </row>
    <row r="125" ht="117.75" customHeight="1" s="11">
      <c r="A125" s="16" t="inlineStr">
        <is>
          <t>T-U029-02</t>
        </is>
      </c>
      <c r="B125" s="16" t="inlineStr">
        <is>
          <t>Erfasse ein selbst formuliertes Ziel und wähle eine unterstützte Bewegungskennzahl aus U006.</t>
        </is>
      </c>
      <c r="C125" s="16" t="inlineStr">
        <is>
          <t>Ziel + freigegebene Kennzahl → Gesprächskontext.</t>
        </is>
      </c>
      <c r="D125" s="16" t="inlineStr">
        <is>
          <t>Ziel ist Selbstauskunft; fehlende Kennzahl bleibt sichtbar.</t>
        </is>
      </c>
      <c r="E125" s="16" t="inlineStr">
        <is>
          <t>Keine Daten, fremde Quelle und unrealistisches Ziel.</t>
        </is>
      </c>
      <c r="F125" s="16"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25" s="16" t="inlineStr">
        <is>
          <t>U029</t>
        </is>
      </c>
    </row>
    <row r="126" ht="117.75" customHeight="1" s="11">
      <c r="A126" s="15" t="inlineStr">
        <is>
          <t>T-U029-03</t>
        </is>
      </c>
      <c r="B126" s="15" t="inlineStr">
        <is>
          <t>Verbinde berechnete Kennzahl und selbst gesetztes Ziel mit geprüfter allgemeiner Information.</t>
        </is>
      </c>
      <c r="C126" s="15" t="inlineStr">
        <is>
          <t>Kontext + Informationspaket → begrenzte Antwort.</t>
        </is>
      </c>
      <c r="D126" s="15" t="inlineStr">
        <is>
          <t>Keine Erfolgsgarantie, keine Therapieanweisung, kein Bezug zu Erkrankungen.</t>
        </is>
      </c>
      <c r="E126" s="15" t="inlineStr">
        <is>
          <t>Vorerkrankung, fehlende Daten und nicht unterstützte Kennzahl.</t>
        </is>
      </c>
      <c r="F126" s="15" t="inlineStr">
        <is>
          <t>Nur den beschriebenen Teil umsetzen. Keine neuen Features, keine echten Patientendaten, kein automatisches Training. Medizinische Regeln nicht selbst erfinden. Kein Projektboard oder Agenten-Worker in diesem Auftrag. Keine individuelle Bewertung, Diagnose oder Dringlichkeitseinstufung (D08).</t>
        </is>
      </c>
      <c r="G126" s="15" t="inlineStr">
        <is>
          <t>U029</t>
        </is>
      </c>
    </row>
    <row r="127" ht="117.75" customHeight="1" s="11">
      <c r="A127" s="15" t="inlineStr">
        <is>
          <t>T-U032-01</t>
        </is>
      </c>
      <c r="B127" s="15" t="inlineStr">
        <is>
          <t>Lege fest, welche synthetischen Befundarten (PDF mit Text, Foto) und welche Felder (Messgröße, Wert, Einheit, Datum) ausgelesen werden.</t>
        </is>
      </c>
      <c r="C127" s="15" t="inlineStr">
        <is>
          <t>Beispielbefunde → Feldliste und JSON-Schema in contracts/llm.</t>
        </is>
      </c>
      <c r="D127" s="15" t="inlineStr">
        <is>
          <t>Zehn synthetische Beispielbefunde mit Sollwerten in evals/.</t>
        </is>
      </c>
      <c r="E127" s="15" t="inlineStr">
        <is>
          <t>Schema-Beispiele sind valide.</t>
        </is>
      </c>
      <c r="F127" s="15" t="inlineStr">
        <is>
          <t>Nur den beschriebenen Teil umsetzen. Keine echten Befunde, keine medizinischen Bilder. Keine individuelle Bewertung, Diagnose oder Dringlichkeitseinstufung (D08).</t>
        </is>
      </c>
      <c r="G127" s="15" t="inlineStr">
        <is>
          <t>U032</t>
        </is>
      </c>
    </row>
    <row r="128" ht="117.75" customHeight="1" s="11">
      <c r="A128" s="15" t="inlineStr">
        <is>
          <t>T-U032-02</t>
        </is>
      </c>
      <c r="B128" s="15" t="inlineStr">
        <is>
          <t>Extrahiere den Text aus PDFs mit Textebene per Bibliothek; das Modell erhält nur den Text.</t>
        </is>
      </c>
      <c r="C128" s="15" t="inlineStr">
        <is>
          <t>PDF → Text → Felder nach Schema.</t>
        </is>
      </c>
      <c r="D128" s="15" t="inlineStr">
        <is>
          <t>Werte aus PDF-Beispielen stimmen mit Sollwerten überein.</t>
        </is>
      </c>
      <c r="E128" s="15" t="inlineStr">
        <is>
          <t>PDF ohne Textebene wird an T-U032-03 übergeben.</t>
        </is>
      </c>
      <c r="F128" s="15" t="inlineStr">
        <is>
          <t>Nur den beschriebenen Teil umsetzen. Keine echten Befunde, keine medizinischen Bilder. Keine individuelle Bewertung, Diagnose oder Dringlichkeitseinstufung (D08).</t>
        </is>
      </c>
      <c r="G128" s="15" t="inlineStr">
        <is>
          <t>U032</t>
        </is>
      </c>
    </row>
    <row r="129" ht="117.75" customHeight="1" s="11">
      <c r="A129" s="15" t="inlineStr">
        <is>
          <t>T-U032-03</t>
        </is>
      </c>
      <c r="B129" s="15" t="inlineStr">
        <is>
          <t>Lies Werte aus Fotos und Scans über den Bild-Port des LLM-Adapters gegen das Schema aus. Bildgröße serverseitig begrenzen.</t>
        </is>
      </c>
      <c r="C129" s="15" t="inlineStr">
        <is>
          <t>Bild → validierte Felder oder definierter Fehler.</t>
        </is>
      </c>
      <c r="D129" s="15" t="inlineStr">
        <is>
          <t>Ungültige Ausgabe führt zum Fehler statt zu geratenen Werten.</t>
        </is>
      </c>
      <c r="E129" s="15" t="inlineStr">
        <is>
          <t>Messung auf zehn Beispielbildern.</t>
        </is>
      </c>
      <c r="F129" s="15" t="inlineStr">
        <is>
          <t>Nur den beschriebenen Teil umsetzen. Keine echten Befunde, keine medizinischen Bilder. Keine individuelle Bewertung, Diagnose oder Dringlichkeitseinstufung (D08).</t>
        </is>
      </c>
      <c r="G129" s="15" t="inlineStr">
        <is>
          <t>U032</t>
        </is>
      </c>
    </row>
    <row r="130" ht="117.75" customHeight="1" s="11">
      <c r="A130" s="15" t="inlineStr">
        <is>
          <t>T-U032-04</t>
        </is>
      </c>
      <c r="B130" s="15" t="inlineStr">
        <is>
          <t>Zeige ausgelesene Werte in der Importvorschau aus U022 zur Bestätigung oder Korrektur; erst bestätigte Werte werden gespeichert.</t>
        </is>
      </c>
      <c r="C130" s="15" t="inlineStr">
        <is>
          <t>Kandidaten → Vorschau → bestätigte Einträge mit Herkunft "Dokument-Auslesung".</t>
        </is>
      </c>
      <c r="D130" s="15" t="inlineStr">
        <is>
          <t>Nichts wird ohne Bestätigung gespeichert.</t>
        </is>
      </c>
      <c r="E130" s="15" t="inlineStr">
        <is>
          <t>Korrektur und Abbruch getestet.</t>
        </is>
      </c>
      <c r="F130" s="15" t="inlineStr">
        <is>
          <t>Nur den beschriebenen Teil umsetzen. Keine echten Befunde, keine medizinischen Bilder. Keine individuelle Bewertung, Diagnose oder Dringlichkeitseinstufung (D08).</t>
        </is>
      </c>
      <c r="G130" s="15" t="inlineStr">
        <is>
          <t>U032</t>
        </is>
      </c>
    </row>
    <row r="131" ht="117.75" customHeight="1" s="11">
      <c r="A131" s="15" t="inlineStr">
        <is>
          <t>T-U032-05</t>
        </is>
      </c>
      <c r="B131" s="15" t="inlineStr">
        <is>
          <t>Miss Trefferquote je Feld auf den Beispielbefunden und dokumentiere Fehlerarten.</t>
        </is>
      </c>
      <c r="C131" s="15" t="inlineStr">
        <is>
          <t>Beispielbefunde → Messbericht.</t>
        </is>
      </c>
      <c r="D131" s="15" t="inlineStr">
        <is>
          <t>Ergebnis dokumentiert; medizinische Bilder werden abgelehnt.</t>
        </is>
      </c>
      <c r="E131" s="15" t="inlineStr">
        <is>
          <t>Ablehnung eines Hautfotos getestet.</t>
        </is>
      </c>
      <c r="F131" s="15" t="inlineStr">
        <is>
          <t>Nur den beschriebenen Teil umsetzen. Keine echten Befunde, keine medizinischen Bilder. Keine individuelle Bewertung, Diagnose oder Dringlichkeitseinstufung (D08).</t>
        </is>
      </c>
      <c r="G131" s="15" t="inlineStr">
        <is>
          <t>U032</t>
        </is>
      </c>
    </row>
    <row r="132" ht="39.55" customHeight="1" s="11">
      <c r="A132" s="15" t="inlineStr">
        <is>
          <t>F016</t>
        </is>
      </c>
      <c r="B132" s="15" t="inlineStr">
        <is>
          <t>Finalisiere den Datenschutzhinweis (Art. 13) und die Einwilligungstexte je Zweck auf Basis des Entwurfs in docs/compliance/Datenschutzhinweis.md; stimme ihn mit der Betreuung ab.</t>
        </is>
      </c>
      <c r="C132" s="15" t="inlineStr">
        <is>
          <t>Entwurf → abgestimmter Text mit Versionsnummer.</t>
        </is>
      </c>
      <c r="D132" s="15" t="inlineStr">
        <is>
          <t>Hinweis nennt Verantwortlichen, Zweck, Rechtsgrundlage, Speicherdauer, Rechte; Version wird bei Einwilligung gespeichert.</t>
        </is>
      </c>
      <c r="E132" s="15" t="inlineStr">
        <is>
          <t>Review durch Betreuung dokumentiert.</t>
        </is>
      </c>
      <c r="F132" s="15" t="inlineStr">
        <is>
          <t>Nur den beschriebenen Teil umsetzen. Keine echten personenbezogenen Daten. Keine individuelle Bewertung, Diagnose oder Dringlichkeitseinstufung (D08).</t>
        </is>
      </c>
      <c r="G132" s="15" t="inlineStr">
        <is>
          <t>D09</t>
        </is>
      </c>
    </row>
    <row r="133" ht="39.55" customHeight="1" s="11">
      <c r="A133" s="15" t="inlineStr">
        <is>
          <t>F017</t>
        </is>
      </c>
      <c r="B133" s="15" t="inlineStr">
        <is>
          <t>Vervollständige Verarbeitungsverzeichnis, DSFA-Schwellwertprüfung und Ablauf bei Datenpannen; führe eine kurze Teameinweisung zu Datenschutz und KI-Grenzen durch (AI Act Art. 4).</t>
        </is>
      </c>
      <c r="C133" s="15" t="inlineStr">
        <is>
          <t>Entwürfe in docs/compliance → abgestimmte Dokumente.</t>
        </is>
      </c>
      <c r="D133" s="15" t="inlineStr">
        <is>
          <t>Jede Verarbeitung im Code hat eine Zeile im Verzeichnis; Einweisung mit Datum dokumentiert.</t>
        </is>
      </c>
      <c r="E133" s="15" t="inlineStr">
        <is>
          <t>Abgleich Verzeichnis gegen Endpunkte.</t>
        </is>
      </c>
      <c r="F133" s="15" t="inlineStr">
        <is>
          <t>Nur den beschriebenen Teil umsetzen. Keine echten personenbezogenen Daten. Keine individuelle Bewertung, Diagnose oder Dringlichkeitseinstufung (D08).</t>
        </is>
      </c>
      <c r="G133" s="15" t="inlineStr">
        <is>
          <t>D09</t>
        </is>
      </c>
    </row>
    <row r="134" ht="39.55" customHeight="1" s="11">
      <c r="A134" s="15" t="inlineStr">
        <is>
          <t>F018</t>
        </is>
      </c>
      <c r="B134" s="15" t="inlineStr">
        <is>
          <t>Setze die TOM aus docs/compliance/TOM.md um: Passwort-Hashing, HTTPS außerhalb lokal, Entscheidung zur Verschlüsselung gespeicherter Gesundheitsdaten, Abhängigkeitsprüfung in CI, Secrets nur über .env.</t>
        </is>
      </c>
      <c r="C134" s="15" t="inlineStr">
        <is>
          <t>TOM-Liste → umgesetzte Maßnahmen mit Test oder Nachweis.</t>
        </is>
      </c>
      <c r="D134" s="15" t="inlineStr">
        <is>
          <t>Jede TOM-Zeile hat Stand und Nachweis; kein Passwort im Klartext; CI meldet bekannte Lücken.</t>
        </is>
      </c>
      <c r="E134" s="15" t="inlineStr">
        <is>
          <t>Tests für Hashing und Zugriff; CI-Lauf.</t>
        </is>
      </c>
      <c r="F134" s="15" t="inlineStr">
        <is>
          <t>Nur den beschriebenen Teil umsetzen. Keine echten personenbezogenen Daten. Keine individuelle Bewertung, Diagnose oder Dringlichkeitseinstufung (D08).</t>
        </is>
      </c>
      <c r="G134" s="15" t="inlineStr">
        <is>
          <t>D09</t>
        </is>
      </c>
    </row>
    <row r="135" ht="39.55" customHeight="1" s="11">
      <c r="A135" s="15" t="inlineStr">
        <is>
          <t>T-U028-03</t>
        </is>
      </c>
      <c r="B135" s="15" t="inlineStr">
        <is>
          <t>Ergänze jede Modellantwort im API-Vertrag um eine maschinenlesbare Kennzeichnung als KI-generiert (z. B. Feld ai_generated und Modellversion) und übernimm sie im Frontend (AI Act Art. 50).</t>
        </is>
      </c>
      <c r="C135" s="15" t="inlineStr">
        <is>
          <t>Antwortobjekt → Antwort mit Kennzeichnungsfeldern.</t>
        </is>
      </c>
      <c r="D135" s="15" t="inlineStr">
        <is>
          <t>Jede Modellantwort trägt die Kennzeichnung; feste Systemtexte sind unterscheidbar.</t>
        </is>
      </c>
      <c r="E135" s="15" t="inlineStr">
        <is>
          <t>Vertragstest auf Pflichtfeld.</t>
        </is>
      </c>
      <c r="F135" s="15" t="inlineStr">
        <is>
          <t>Nur den beschriebenen Teil umsetzen. Keine echten personenbezogenen Daten. Keine individuelle Bewertung, Diagnose oder Dringlichkeitseinstufung (D08).</t>
        </is>
      </c>
      <c r="G135" s="15" t="inlineStr">
        <is>
          <t>U028</t>
        </is>
      </c>
    </row>
    <row r="136" ht="39.55" customHeight="1" s="11">
      <c r="A136" s="15" t="inlineStr">
        <is>
          <t>T-U033-01</t>
        </is>
      </c>
      <c r="B136" s="15" t="inlineStr">
        <is>
          <t>Liste alle gespeicherten Datenklassen je Nutzer auf (Chats, Einwilligungen, Profil, Importe, Feedback) und lege das Exportformat fest.</t>
        </is>
      </c>
      <c r="C136" s="15" t="inlineStr">
        <is>
          <t>Datenklassen → Exportschema.</t>
        </is>
      </c>
      <c r="D136" s="15" t="inlineStr">
        <is>
          <t>Jede gespeicherte Datenklasse ist im Export enthalten oder begründet ausgenommen.</t>
        </is>
      </c>
      <c r="E136" s="15" t="inlineStr">
        <is>
          <t>Abgleich mit Verarbeitungsverzeichnis.</t>
        </is>
      </c>
      <c r="F136" s="15" t="inlineStr">
        <is>
          <t>Nur den beschriebenen Teil umsetzen. Keine echten personenbezogenen Daten. Keine individuelle Bewertung, Diagnose oder Dringlichkeitseinstufung (D08).</t>
        </is>
      </c>
      <c r="G136" s="15" t="inlineStr">
        <is>
          <t>U033</t>
        </is>
      </c>
    </row>
    <row r="137" ht="39.55" customHeight="1" s="11">
      <c r="A137" s="15" t="inlineStr">
        <is>
          <t>T-U033-02</t>
        </is>
      </c>
      <c r="B137" s="15" t="inlineStr">
        <is>
          <t>Erzeuge den Export nur für den angemeldeten Nutzer über die registrierten Speicheradapter.</t>
        </is>
      </c>
      <c r="C137" s="15" t="inlineStr">
        <is>
          <t>Sitzung → JSON-Export (Gesundheitsdaten wo möglich FHIR).</t>
        </is>
      </c>
      <c r="D137" s="15" t="inlineStr">
        <is>
          <t>Fremde Daten nie enthalten; Export vollständig laut T-U033-01.</t>
        </is>
      </c>
      <c r="E137" s="15" t="inlineStr">
        <is>
          <t>Test mit zwei Testkonten.</t>
        </is>
      </c>
      <c r="F137" s="15" t="inlineStr">
        <is>
          <t>Nur den beschriebenen Teil umsetzen. Keine echten personenbezogenen Daten. Keine individuelle Bewertung, Diagnose oder Dringlichkeitseinstufung (D08).</t>
        </is>
      </c>
      <c r="G137" s="15" t="inlineStr">
        <is>
          <t>U033</t>
        </is>
      </c>
    </row>
    <row r="138" ht="39.55" customHeight="1" s="11">
      <c r="A138" s="15" t="inlineStr">
        <is>
          <t>T-U033-03</t>
        </is>
      </c>
      <c r="B138" s="15" t="inlineStr">
        <is>
          <t>Biete Auskunftsansicht und Download an, mit Ladezustand und Fehlerfall.</t>
        </is>
      </c>
      <c r="C138" s="15" t="inlineStr">
        <is>
          <t>Klick → Download.</t>
        </is>
      </c>
      <c r="D138" s="15" t="inlineStr">
        <is>
          <t>Nutzer sieht, welche Datenklassen enthalten sind.</t>
        </is>
      </c>
      <c r="E138" s="15" t="inlineStr">
        <is>
          <t>UI-Test.</t>
        </is>
      </c>
      <c r="F138" s="15" t="inlineStr">
        <is>
          <t>Nur den beschriebenen Teil umsetzen. Keine echten personenbezogenen Daten. Keine individuelle Bewertung, Diagnose oder Dringlichkeitseinstufung (D08).</t>
        </is>
      </c>
      <c r="G138" s="15" t="inlineStr">
        <is>
          <t>U033</t>
        </is>
      </c>
    </row>
    <row r="139" ht="39.55" customHeight="1" s="11">
      <c r="A139" s="15" t="inlineStr">
        <is>
          <t>T-U033-04</t>
        </is>
      </c>
      <c r="B139" s="15" t="inlineStr">
        <is>
          <t>Prüfe Zugriffsschutz, Vollständigkeit und Entfernung temporärer Exportdateien.</t>
        </is>
      </c>
      <c r="C139" s="15" t="inlineStr">
        <is>
          <t>Testfälle → Protokoll.</t>
        </is>
      </c>
      <c r="D139" s="15" t="inlineStr">
        <is>
          <t>Kein Zugriff auf fremde Exporte; temporäre Dateien werden entfernt.</t>
        </is>
      </c>
      <c r="E139" s="15" t="inlineStr">
        <is>
          <t>Integrationstest.</t>
        </is>
      </c>
      <c r="F139" s="15" t="inlineStr">
        <is>
          <t>Nur den beschriebenen Teil umsetzen. Keine echten personenbezogenen Daten. Keine individuelle Bewertung, Diagnose oder Dringlichkeitseinstufung (D08).</t>
        </is>
      </c>
      <c r="G139" s="15" t="inlineStr">
        <is>
          <t>U033</t>
        </is>
      </c>
    </row>
    <row r="140" ht="39.55" customHeight="1" s="11">
      <c r="A140" s="15" t="inlineStr">
        <is>
          <t>T-U017-04</t>
        </is>
      </c>
      <c r="B140" s="15" t="inlineStr">
        <is>
          <t>Bereite die englischen Fassungen der freigegebenen Fachinhalte zur fachlichen Prüfung vor. Gleiche id wie die deutsche Fassung, sprache en, Dateiname &lt;name&gt;.en.md.</t>
        </is>
      </c>
      <c r="C140" s="15" t="inlineStr">
        <is>
          <t>Geprueft deutsche Fassung -&gt; englischer Entwurf zur Prüfung.</t>
        </is>
      </c>
      <c r="D140" s="15" t="inlineStr">
        <is>
          <t>Je Inhalt existiert eine englische Datei mit gleicher id; Status hoechstens testfreigabe; kein Inhalt ohne deutsche Vorlage.</t>
        </is>
      </c>
      <c r="E140" s="15" t="inlineStr">
        <is>
          <t>Fehlende englische Fassung führt zur deutschen Fassung mit Hinweis, nicht zu einer Übersetzung.</t>
        </is>
      </c>
      <c r="F140" s="15" t="inlineStr">
        <is>
          <t>Nur den beschriebenen Teil umsetzen. Keine echten personenbezogenen Daten. Keine individuelle Bewertung, Diagnose oder Dringlichkeitseinstufung (D08). Keine maschinelle Übersetzung zur Laufzeit (harte Regel 12). Keine fachliche Freigabe setzen.</t>
        </is>
      </c>
      <c r="G140" s="15" t="inlineStr">
        <is>
          <t>U017, D07</t>
        </is>
      </c>
    </row>
    <row r="141" ht="39.55" customHeight="1" s="11">
      <c r="A141" s="15" t="inlineStr">
        <is>
          <t>DOC-001</t>
        </is>
      </c>
      <c r="B141" s="15" t="inlineStr">
        <is>
          <t>Siehe planning/work-orders/DOC-001.md.</t>
        </is>
      </c>
      <c r="C141" s="15" t="inlineStr">
        <is>
          <t>Befunde aus TEST-001 und Entscheidungen vom 14.10.2026 -&gt; angepasste Regeln und Doku.</t>
        </is>
      </c>
      <c r="D141" s="15" t="inlineStr">
        <is>
          <t>Siehe Arbeitsauftrag.</t>
        </is>
      </c>
      <c r="E141" s="15" t="inlineStr">
        <is>
          <t>Strukturcheck im Gut- und Fehlerfall; Vertragsbeispiele inklusive Gegenprobe.</t>
        </is>
      </c>
      <c r="F141" s="15" t="inlineStr">
        <is>
          <t>Nur den beschriebenen Teil umsetzen. Keine echten personenbezogenen Daten. Keine individuelle Bewertung, Diagnose oder Dringlichkeitseinstufung (D08). Kein Produktcode.</t>
        </is>
      </c>
      <c r="G141" s="15" t="inlineStr">
        <is>
          <t>TEST-001, F002, F003</t>
        </is>
      </c>
    </row>
  </sheetData>
  <mergeCells count="2">
    <mergeCell ref="A2:G2"/>
    <mergeCell ref="A1:G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5.xml><?xml version="1.0" encoding="utf-8"?>
<worksheet xmlns="http://schemas.openxmlformats.org/spreadsheetml/2006/main">
  <sheetPr filterMode="0">
    <outlinePr summaryBelow="1" summaryRight="1"/>
    <pageSetUpPr fitToPage="0"/>
  </sheetPr>
  <dimension ref="A1:F12"/>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0" min="1" max="1"/>
    <col width="35" customWidth="1" style="10" min="2" max="2"/>
    <col width="90" customWidth="1" style="10" min="3" max="3"/>
    <col width="30" customWidth="1" style="10" min="4" max="4"/>
    <col width="20" customWidth="1" style="10" min="5" max="5"/>
    <col width="70" customWidth="1" style="10" min="6" max="6"/>
  </cols>
  <sheetData>
    <row r="1" ht="27.75" customHeight="1" s="11">
      <c r="A1" s="12" t="inlineStr">
        <is>
          <t>Offene Entscheidungen vor der Umsetzung</t>
        </is>
      </c>
    </row>
    <row r="2" ht="30" customHeight="1" s="11">
      <c r="A2" s="13" t="inlineStr">
        <is>
          <t>Vorschläge sind keine bereits getroffenen Architekturentscheidungen. Bestätigte Ergebnisse und Nachweislinks hier eintragen.</t>
        </is>
      </c>
    </row>
    <row r="3" ht="43.5" customHeight="1" s="11">
      <c r="A3" s="14" t="inlineStr">
        <is>
          <t>ID</t>
        </is>
      </c>
      <c r="B3" s="14" t="inlineStr">
        <is>
          <t>Thema</t>
        </is>
      </c>
      <c r="C3" s="14" t="inlineStr">
        <is>
          <t>Zu klären</t>
        </is>
      </c>
      <c r="D3" s="14" t="inlineStr">
        <is>
          <t>Zuständigkeit</t>
        </is>
      </c>
      <c r="E3" s="14" t="inlineStr">
        <is>
          <t>Status</t>
        </is>
      </c>
      <c r="F3" s="14" t="inlineStr">
        <is>
          <t>Beschluss / Nachweis</t>
        </is>
      </c>
    </row>
    <row r="4" ht="67.5" customHeight="1" s="11">
      <c r="A4" s="15" t="inlineStr">
        <is>
          <t>D01</t>
        </is>
      </c>
      <c r="B4" s="15" t="inlineStr">
        <is>
          <t>Technischer Stack und Repository</t>
        </is>
      </c>
      <c r="C4" s="15" t="inlineStr">
        <is>
          <t>UI-/Backend-Sprache, Frameworks, Repositorystruktur, vorhandener Code und Startbefehle bestätigen.</t>
        </is>
      </c>
      <c r="D4" s="15" t="inlineStr">
        <is>
          <t>Architektur / Team</t>
        </is>
      </c>
      <c r="E4" s="19" t="inlineStr">
        <is>
          <t>Bestätigt</t>
        </is>
      </c>
      <c r="F4" s="19" t="inlineStr">
        <is>
          <t>Teamzustimmung Atakan 14.10.2026; docs/decisions/D01-Stack.md</t>
        </is>
      </c>
    </row>
    <row r="5" ht="67.5" customHeight="1" s="11">
      <c r="A5" s="16" t="inlineStr">
        <is>
          <t>D02</t>
        </is>
      </c>
      <c r="B5" s="16" t="inlineStr">
        <is>
          <t>FHIR und Messgrößen</t>
        </is>
      </c>
      <c r="C5" s="16" t="inlineStr">
        <is>
          <t>FHIR-Version, erlaubte Ressourcen, Profile, Einheiten, Zeitfilter und erste Messgröße bestätigen.</t>
        </is>
      </c>
      <c r="D5" s="16" t="inlineStr">
        <is>
          <t>Daten / Betreuung</t>
        </is>
      </c>
      <c r="E5" s="19" t="inlineStr">
        <is>
          <t>In Klärung</t>
        </is>
      </c>
      <c r="F5" s="19" t="inlineStr">
        <is>
          <t>Empfehlung (nicht bestätigt): docs/decisions/D02-FHIR.md</t>
        </is>
      </c>
    </row>
    <row r="6" ht="67.5" customHeight="1" s="11">
      <c r="A6" s="15" t="inlineStr">
        <is>
          <t>D03</t>
        </is>
      </c>
      <c r="B6" s="15" t="inlineStr">
        <is>
          <t>Modell und Laufzeit</t>
        </is>
      </c>
      <c r="C6" s="15" t="inlineStr">
        <is>
          <t>Modell, Lizenz, Zielhardware, Adaptervertrag, Ausgabe-/Zeitlimits und gemessene Latenz festlegen.</t>
        </is>
      </c>
      <c r="D6" s="15" t="inlineStr">
        <is>
          <t>LLM / Team</t>
        </is>
      </c>
      <c r="E6" s="19" t="inlineStr">
        <is>
          <t>In Klärung</t>
        </is>
      </c>
      <c r="F6" s="19" t="inlineStr">
        <is>
          <t>Empfehlung (nicht bestätigt): docs/decisions/D03-Modell.md</t>
        </is>
      </c>
    </row>
    <row r="7" ht="67.5" customHeight="1" s="11">
      <c r="A7" s="16" t="inlineStr">
        <is>
          <t>D04</t>
        </is>
      </c>
      <c r="B7" s="16" t="inlineStr">
        <is>
          <t>Fachliche Inhalte und Regeln</t>
        </is>
      </c>
      <c r="C7" s="16" t="inlineStr">
        <is>
          <t>Je Story kleinen Demo-Umfang, Quellen, Reviewperson und freigegebene Version dokumentieren. Keine pauschale Freigabe aller zukünftigen Regeln.</t>
        </is>
      </c>
      <c r="D7" s="16" t="inlineStr">
        <is>
          <t>Research / Fachbetreuung</t>
        </is>
      </c>
      <c r="E7" s="19" t="inlineStr">
        <is>
          <t>In Klärung</t>
        </is>
      </c>
      <c r="F7" s="19" t="inlineStr">
        <is>
          <t>Empfehlung (nicht bestätigt): docs/decisions/D04-Fachinhalte.md</t>
        </is>
      </c>
    </row>
    <row r="8" ht="67.5" customHeight="1" s="11">
      <c r="A8" s="15" t="inlineStr">
        <is>
          <t>D05</t>
        </is>
      </c>
      <c r="B8" s="15" t="inlineStr">
        <is>
          <t>Identität, Einwilligung und Datenfluss</t>
        </is>
      </c>
      <c r="C8" s="15" t="inlineStr">
        <is>
          <t>Demo-Anmeldung, Freigaben, Widerruf, Logdaten und Löschgrenzen mit Betreuung klären.</t>
        </is>
      </c>
      <c r="D8" s="15" t="inlineStr">
        <is>
          <t>Backend / Datenschutzkontakt</t>
        </is>
      </c>
      <c r="E8" s="19" t="inlineStr">
        <is>
          <t>In Klärung</t>
        </is>
      </c>
      <c r="F8" s="19" t="inlineStr">
        <is>
          <t>Empfehlung (nicht bestätigt): docs/decisions/D05-Identitaet-Einwilligung.md</t>
        </is>
      </c>
    </row>
    <row r="9" ht="67.5" customHeight="1" s="11">
      <c r="A9" s="16" t="inlineStr">
        <is>
          <t>D06</t>
        </is>
      </c>
      <c r="B9" s="16" t="inlineStr">
        <is>
          <t>Speicherung und Kontext</t>
        </is>
      </c>
      <c r="C9" s="16" t="inlineStr">
        <is>
          <t>Speichertechnik, Schema-/Migrationsablauf, Lebensdauer, Backups und Kontextlimit festlegen.</t>
        </is>
      </c>
      <c r="D9" s="16" t="inlineStr">
        <is>
          <t>Backend / Daten</t>
        </is>
      </c>
      <c r="E9" s="19" t="inlineStr">
        <is>
          <t>In Klärung</t>
        </is>
      </c>
      <c r="F9" s="19" t="inlineStr">
        <is>
          <t>Empfehlung (nicht bestätigt): docs/decisions/D06-Speicherung.md</t>
        </is>
      </c>
    </row>
    <row r="10" ht="67.5" customHeight="1" s="11">
      <c r="A10" s="15" t="inlineStr">
        <is>
          <t>D07</t>
        </is>
      </c>
      <c r="B10" s="15" t="inlineStr">
        <is>
          <t>Optionale Funktionen</t>
        </is>
      </c>
      <c r="C10" s="15" t="inlineStr">
        <is>
          <t>Englisch und weitere optionale Stories ausdrücklich auswählen. Aufgaben vorhanden bedeutet nicht MVP-Zusage.</t>
        </is>
      </c>
      <c r="D10" s="15" t="inlineStr">
        <is>
          <t>Koordination / Team</t>
        </is>
      </c>
      <c r="E10" s="19" t="inlineStr">
        <is>
          <t>In Klärung</t>
        </is>
      </c>
      <c r="F10" s="19" t="inlineStr">
        <is>
          <t>Empfehlung (nicht bestätigt): docs/decisions/D07-Optionaler-Umfang.md</t>
        </is>
      </c>
    </row>
    <row r="11" ht="67.5" customHeight="1" s="11">
      <c r="A11" s="15" t="inlineStr">
        <is>
          <t>D08</t>
        </is>
      </c>
      <c r="B11" s="15" t="inlineStr">
        <is>
          <t>Zweckbestimmung</t>
        </is>
      </c>
      <c r="C11" s="15" t="inlineStr">
        <is>
          <t>VitaSync ist kein Medizinprodukt: welche Funktionen sind erlaubt, welche ausgeschlossen.</t>
        </is>
      </c>
      <c r="D11" s="15" t="inlineStr">
        <is>
          <t>Projektleitung / Betreuung</t>
        </is>
      </c>
      <c r="E11" s="19" t="inlineStr">
        <is>
          <t>Bestätigt</t>
        </is>
      </c>
      <c r="F11" s="19" t="inlineStr">
        <is>
          <t>Vorgabe Projektleitung 14.10.2026; Details docs/decisions/D08-Zweckbestimmung.md. Formale Einschätzung durch Betreuung noch einholen.</t>
        </is>
      </c>
    </row>
    <row r="12" ht="26.85" customHeight="1" s="11">
      <c r="A12" s="15" t="inlineStr">
        <is>
          <t>D09</t>
        </is>
      </c>
      <c r="B12" s="15" t="inlineStr">
        <is>
          <t>Datenschutz und EU-Recht</t>
        </is>
      </c>
      <c r="C12" s="15" t="inlineStr">
        <is>
          <t>DSGVO-Pflichten, AI Act Art. 50 und Art. 4, TDDDG; Abgrenzung Hochrisiko-KI.</t>
        </is>
      </c>
      <c r="D12" s="15" t="inlineStr">
        <is>
          <t>Team / Betreuung / Datenschutzbeauftragter</t>
        </is>
      </c>
      <c r="E12" s="19" t="inlineStr">
        <is>
          <t>In Klärung</t>
        </is>
      </c>
      <c r="F12" s="19" t="inlineStr">
        <is>
          <t>Empfehlung (nicht bestätigt): docs/decisions/D09-Datenschutz-EU.md</t>
        </is>
      </c>
    </row>
  </sheetData>
  <mergeCells count="2">
    <mergeCell ref="A2:F2"/>
    <mergeCell ref="A1:F1"/>
  </mergeCells>
  <dataValidations count="1">
    <dataValidation sqref="E4:E12" showDropDown="0" showInputMessage="0" showErrorMessage="0" allowBlank="0" type="list" errorStyle="stop" operator="between">
      <formula1>"Offen,In Klärung,Bestätigt"</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6.xml><?xml version="1.0" encoding="utf-8"?>
<worksheet xmlns="http://schemas.openxmlformats.org/spreadsheetml/2006/main">
  <sheetPr filterMode="0">
    <outlinePr summaryBelow="1" summaryRight="1"/>
    <pageSetUpPr fitToPage="0"/>
  </sheetPr>
  <dimension ref="A1:G1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10" min="1" max="1"/>
    <col width="29" customWidth="1" style="10" min="2" max="2"/>
    <col width="87" customWidth="1" style="10" min="3" max="3"/>
    <col width="48" customWidth="1" style="10" min="4" max="4"/>
    <col width="28" customWidth="1" style="10" min="5" max="5"/>
    <col width="20" customWidth="1" style="10" min="6" max="6"/>
    <col width="38" customWidth="1" style="10" min="7" max="7"/>
  </cols>
  <sheetData>
    <row r="1" ht="27.75" customHeight="1" s="11">
      <c r="A1" s="12" t="inlineStr">
        <is>
          <t>Definition of Done – Meilenstein 1</t>
        </is>
      </c>
    </row>
    <row r="2" ht="30" customHeight="1" s="11">
      <c r="A2" s="13" t="inlineStr">
        <is>
          <t>Vorschlag aus dem bisherigen Backlog. Referenzen Bxxx/Exxx sind Ursprungs-IDs; Zuordnung siehe Briefings, Spalte Bestandsbezug.</t>
        </is>
      </c>
    </row>
    <row r="3" ht="43.5" customHeight="1" s="11">
      <c r="A3" s="14" t="inlineStr">
        <is>
          <t>ID</t>
        </is>
      </c>
      <c r="B3" s="14" t="inlineStr">
        <is>
          <t>Bereich / Bezug</t>
        </is>
      </c>
      <c r="C3" s="14" t="inlineStr">
        <is>
          <t>Prüfbares Kriterium</t>
        </is>
      </c>
      <c r="D3" s="14" t="inlineStr">
        <is>
          <t>Nachweis</t>
        </is>
      </c>
      <c r="E3" s="14" t="inlineStr">
        <is>
          <t>Prüfverantwortung</t>
        </is>
      </c>
      <c r="F3" s="14" t="inlineStr">
        <is>
          <t>Status</t>
        </is>
      </c>
      <c r="G3" s="14" t="inlineStr">
        <is>
          <t>Nachweis / Link</t>
        </is>
      </c>
    </row>
    <row r="4" ht="67.5" customHeight="1" s="11">
      <c r="A4" s="15" t="inlineStr">
        <is>
          <t>DOD1-01</t>
        </is>
      </c>
      <c r="B4" s="15" t="inlineStr">
        <is>
          <t>UX / E001–E002</t>
        </is>
      </c>
      <c r="C4" s="15" t="inlineStr">
        <is>
          <t>Auf Desktop und Smartphone lassen sich Nachricht eingeben, senden und Antwort/Verlauf lesen. Leere Eingaben werden abgefangen; Tastaturbedienung ist möglich.</t>
        </is>
      </c>
      <c r="D4" s="15" t="inlineStr">
        <is>
          <t>Live-Demo in zwei vereinbarten Bildschirmgrößen</t>
        </is>
      </c>
      <c r="E4" s="15" t="inlineStr">
        <is>
          <t>UI / UX</t>
        </is>
      </c>
      <c r="F4" s="19" t="inlineStr">
        <is>
          <t>Offen</t>
        </is>
      </c>
      <c r="G4" s="19" t="inlineStr">
        <is>
          <t>Probe/geplant: docs/nachweise/M1/DOD1-01.md</t>
        </is>
      </c>
    </row>
    <row r="5" ht="67.5" customHeight="1" s="11">
      <c r="A5" s="16" t="inlineStr">
        <is>
          <t>DOD1-02</t>
        </is>
      </c>
      <c r="B5" s="16" t="inlineStr">
        <is>
          <t>Integration / E003, B002, B007</t>
        </is>
      </c>
      <c r="C5" s="16" t="inlineStr">
        <is>
          <t>UI → Backend → lokal betriebenes LLM → UI funktioniert auf der dokumentierten Zielhardware. Ein reines Mockup reicht zur M1-Abnahme nicht.</t>
        </is>
      </c>
      <c r="D5" s="16" t="inlineStr">
        <is>
          <t>End-to-End-Test und dokumentierter Startbefehl</t>
        </is>
      </c>
      <c r="E5" s="16" t="inlineStr">
        <is>
          <t>Backend / LLM</t>
        </is>
      </c>
      <c r="F5" s="19" t="inlineStr">
        <is>
          <t>Offen</t>
        </is>
      </c>
      <c r="G5" s="19" t="inlineStr">
        <is>
          <t>Probe/geplant: docs/nachweise/M1/DOD1-02.md</t>
        </is>
      </c>
    </row>
    <row r="6" ht="67.5" customHeight="1" s="11">
      <c r="A6" s="15" t="inlineStr">
        <is>
          <t>DOD1-03</t>
        </is>
      </c>
      <c r="B6" s="15" t="inlineStr">
        <is>
          <t>Anfrageerkennung / U004, U009</t>
        </is>
      </c>
      <c r="C6" s="15" t="inlineStr">
        <is>
          <t>Gesundheitsfrage, fachfremde Frage und unklare Anfrage werden unterschieden. Validiertes Ausgabeformat und Fehler-Fallback funktionieren. Vorschlag: mindestens 18 von 20 vorher festgelegten Fällen korrekt.</t>
        </is>
      </c>
      <c r="D6" s="15" t="inlineStr">
        <is>
          <t>Versionierter Testdatensatz mit Soll- und Ist-Ergebnis</t>
        </is>
      </c>
      <c r="E6" s="15" t="inlineStr">
        <is>
          <t>Tests / LLM</t>
        </is>
      </c>
      <c r="F6" s="19" t="inlineStr">
        <is>
          <t>Offen</t>
        </is>
      </c>
      <c r="G6" s="19" t="inlineStr">
        <is>
          <t>Probe/geplant: docs/nachweise/M1/DOD1-03.md</t>
        </is>
      </c>
    </row>
    <row r="7" ht="67.5" customHeight="1" s="11">
      <c r="A7" s="16" t="inlineStr">
        <is>
          <t>DOD1-04</t>
        </is>
      </c>
      <c r="B7" s="16" t="inlineStr">
        <is>
          <t>Rückfragen / U010</t>
        </is>
      </c>
      <c r="C7" s="16" t="inlineStr">
        <is>
          <t>Bei fehlenden Informationen wird gezielt nachgefragt. Eine Folgeantwort wird der offenen Rückfrage zugeordnet; kein kompletter Langzeitdialog als M1-Pflicht.</t>
        </is>
      </c>
      <c r="D7" s="16" t="inlineStr">
        <is>
          <t>Mindestens drei Dialogtests mit Folgeantwort</t>
        </is>
      </c>
      <c r="E7" s="16" t="inlineStr">
        <is>
          <t>Backend / Tests</t>
        </is>
      </c>
      <c r="F7" s="19" t="inlineStr">
        <is>
          <t>Offen</t>
        </is>
      </c>
      <c r="G7" s="19" t="inlineStr">
        <is>
          <t>Probe/geplant: docs/nachweise/M1/DOD1-04.md</t>
        </is>
      </c>
    </row>
    <row r="8" ht="67.5" customHeight="1" s="11">
      <c r="A8" s="15" t="inlineStr">
        <is>
          <t>DOD1-05</t>
        </is>
      </c>
      <c r="B8" s="15" t="inlineStr">
        <is>
          <t>Antwortqualität / U009</t>
        </is>
      </c>
      <c r="C8" s="15" t="inlineStr">
        <is>
          <t>Eine allgemeine Gesundheitsfrage erhält eine relevante, kurze Antwort; Fachbegriffe werden erklärt. Quellen und Grenzen sind nachvollziehbar. Vorschlag: Erstantwort maximal 150 Wörter, Details auf Nachfrage.</t>
        </is>
      </c>
      <c r="D8" s="15" t="inlineStr">
        <is>
          <t>Review von fünf repräsentativen Antworten</t>
        </is>
      </c>
      <c r="E8" s="15" t="inlineStr">
        <is>
          <t>Research / Tests</t>
        </is>
      </c>
      <c r="F8" s="19" t="inlineStr">
        <is>
          <t>Offen</t>
        </is>
      </c>
      <c r="G8" s="19" t="inlineStr">
        <is>
          <t>Probe/geplant: docs/nachweise/M1/DOD1-05.md</t>
        </is>
      </c>
    </row>
    <row r="9" ht="67.5" customHeight="1" s="11">
      <c r="A9" s="16" t="inlineStr">
        <is>
          <t>DOD1-06</t>
        </is>
      </c>
      <c r="B9" s="16" t="inlineStr">
        <is>
          <t>Ladezustand / U026</t>
        </is>
      </c>
      <c r="C9" s="16" t="inlineStr">
        <is>
          <t>Nach Senden erscheint innerhalb einer Sekunde ein Status. Nach konfigurierbarem Timeout (Startvorschlag 60 s) erscheinen Fehler und Wiederholen; keine doppelten Nachrichten.</t>
        </is>
      </c>
      <c r="D9" s="16" t="inlineStr">
        <is>
          <t>Erfolgs-, Timeout- und Verbindungsfehlertest; Laufzeitmessung</t>
        </is>
      </c>
      <c r="E9" s="16" t="inlineStr">
        <is>
          <t>UI / Backend</t>
        </is>
      </c>
      <c r="F9" s="19" t="inlineStr">
        <is>
          <t>Offen</t>
        </is>
      </c>
      <c r="G9" s="19" t="inlineStr">
        <is>
          <t>Probe/geplant: docs/nachweise/M1/DOD1-06.md</t>
        </is>
      </c>
    </row>
    <row r="10" ht="67.5" customHeight="1" s="11">
      <c r="A10" s="15" t="inlineStr">
        <is>
          <t>DOD1-07</t>
        </is>
      </c>
      <c r="B10" s="15" t="inlineStr">
        <is>
          <t>Chatfreigabe / U027</t>
        </is>
      </c>
      <c r="C10" s="15" t="inlineStr">
        <is>
          <t>Vor Zustimmung gelangen Eingaben nicht zum Modell. Ablehnung verhindert Verarbeitung. Nach Widerruf werden neue Aufrufe blockiert; verspätete Antworten verworfen. Prüfen auch ohne UI-Sperre.</t>
        </is>
      </c>
      <c r="D10" s="15" t="inlineStr">
        <is>
          <t>Tests für Zustimmung, Ablehnung, Widerruf und direkten API-Aufruf</t>
        </is>
      </c>
      <c r="E10" s="15" t="inlineStr">
        <is>
          <t>Backend / Tests</t>
        </is>
      </c>
      <c r="F10" s="19" t="inlineStr">
        <is>
          <t>Offen</t>
        </is>
      </c>
      <c r="G10" s="19" t="inlineStr">
        <is>
          <t>Probe/geplant: docs/nachweise/M1/DOD1-07.md</t>
        </is>
      </c>
    </row>
    <row r="11" ht="67.5" customHeight="1" s="11">
      <c r="A11" s="16" t="inlineStr">
        <is>
          <t>DOD1-08</t>
        </is>
      </c>
      <c r="B11" s="16" t="inlineStr">
        <is>
          <t>KI-Transparenz / U028</t>
        </is>
      </c>
      <c r="C11" s="16" t="inlineStr">
        <is>
          <t>Versionierter Hinweis wird vor Zustimmung angezeigt. KI-Kennzeichnung bleibt im Header sichtbar; Nutzer erkennen, dass keine ärztliche Diagnose erfolgt.</t>
        </is>
      </c>
      <c r="D11" s="16" t="inlineStr">
        <is>
          <t>Screenshots und manuelle Prüfung des Chatstarts</t>
        </is>
      </c>
      <c r="E11" s="16" t="inlineStr">
        <is>
          <t>UI / Research</t>
        </is>
      </c>
      <c r="F11" s="19" t="inlineStr">
        <is>
          <t>Offen</t>
        </is>
      </c>
      <c r="G11" s="19" t="inlineStr">
        <is>
          <t>Probe/geplant: docs/nachweise/M1/DOD1-08.md</t>
        </is>
      </c>
    </row>
    <row r="12" ht="67.5" customHeight="1" s="11">
      <c r="A12" s="15" t="inlineStr">
        <is>
          <t>DOD1-09</t>
        </is>
      </c>
      <c r="B12" s="15" t="inlineStr">
        <is>
          <t>M1-Grenzen / B001, B003</t>
        </is>
      </c>
      <c r="C12" s="15" t="inlineStr">
        <is>
          <t>Demonstration nutzt ausschließlich synthetische Eingaben. M1 greift nicht auf echte Patientenakten zu; Gesundheitsinhalte werden nicht unbemerkt in Logs gespeichert. Keine Antwort enthält eine individuelle Bewertung, Diagnose oder Dringlichkeitseinstufung (D08).</t>
        </is>
      </c>
      <c r="D12" s="15" t="inlineStr">
        <is>
          <t>Abgestimmter Datenfluss und Prüfung von Logs/Testdaten</t>
        </is>
      </c>
      <c r="E12" s="15" t="inlineStr">
        <is>
          <t>Team / Research</t>
        </is>
      </c>
      <c r="F12" s="19" t="inlineStr">
        <is>
          <t>Offen</t>
        </is>
      </c>
      <c r="G12" s="19" t="inlineStr">
        <is>
          <t>Probe/geplant: docs/nachweise/M1/DOD1-09.md</t>
        </is>
      </c>
    </row>
    <row r="13" ht="67.5" customHeight="1" s="11">
      <c r="A13" s="16" t="inlineStr">
        <is>
          <t>DOD1-10</t>
        </is>
      </c>
      <c r="B13" s="16" t="inlineStr">
        <is>
          <t>Qualität / B005–B006</t>
        </is>
      </c>
      <c r="C13" s="16" t="inlineStr">
        <is>
          <t>Relevante automatisierte Tests laufen erfolgreich. Kein bekannter Fehler blockiert Eingabe, Verarbeitung, Einwilligung oder Ausgabe. Änderungen wurden von einer zweiten Person geprüft.</t>
        </is>
      </c>
      <c r="D13" s="16" t="inlineStr">
        <is>
          <t>Testlauf, Review-Verweis und dokumentierte offene Fehler</t>
        </is>
      </c>
      <c r="E13" s="16" t="inlineStr">
        <is>
          <t>Tests / Review</t>
        </is>
      </c>
      <c r="F13" s="19" t="inlineStr">
        <is>
          <t>Offen</t>
        </is>
      </c>
      <c r="G13" s="19" t="inlineStr">
        <is>
          <t>Probe/geplant: docs/nachweise/M1/DOD1-10.md</t>
        </is>
      </c>
    </row>
    <row r="14" ht="67.5" customHeight="1" s="11">
      <c r="A14" s="15" t="inlineStr">
        <is>
          <t>DOD1-11</t>
        </is>
      </c>
      <c r="B14" s="15" t="inlineStr">
        <is>
          <t>Reproduzierbarkeit / Dokumentation</t>
        </is>
      </c>
      <c r="C14" s="15" t="inlineStr">
        <is>
          <t>Eine zweite Person kann die Version anhand der README starten. Modellversion, Hardware, Konfiguration, Einschränkungen und Entscheidungen sind dokumentiert.</t>
        </is>
      </c>
      <c r="D14" s="15" t="inlineStr">
        <is>
          <t>Startversuch durch zweites Teammitglied und Versionsstand</t>
        </is>
      </c>
      <c r="E14" s="15" t="inlineStr">
        <is>
          <t>Dokumentation</t>
        </is>
      </c>
      <c r="F14" s="19" t="inlineStr">
        <is>
          <t>Offen</t>
        </is>
      </c>
      <c r="G14" s="19" t="inlineStr">
        <is>
          <t>Probe/geplant: docs/nachweise/M1/DOD1-11.md</t>
        </is>
      </c>
    </row>
    <row r="15" ht="67.5" customHeight="1" s="11">
      <c r="A15" s="16" t="inlineStr">
        <is>
          <t>DOD1-12</t>
        </is>
      </c>
      <c r="B15" s="16" t="inlineStr">
        <is>
          <t>Abnahme / M1</t>
        </is>
      </c>
      <c r="C15" s="16" t="inlineStr">
        <is>
          <t>Alle verpflichtenden Kriterien DOD1-01 bis DOD1-11 und DOD1-13 sind erfüllt und im Review bestätigt. Optionale Sprache U017 ist nur bei ausdrücklich erweitertem M1-Umfang verpflichtend.</t>
        </is>
      </c>
      <c r="D15" s="16" t="inlineStr">
        <is>
          <t>Demo, Review-Protokoll und Links auf Nachweise</t>
        </is>
      </c>
      <c r="E15" s="16" t="inlineStr">
        <is>
          <t>Team / Betreuung</t>
        </is>
      </c>
      <c r="F15" s="19" t="inlineStr">
        <is>
          <t>Offen</t>
        </is>
      </c>
      <c r="G15" s="19" t="inlineStr">
        <is>
          <t>Probe/geplant: docs/nachweise/M1/DOD1-12.md</t>
        </is>
      </c>
    </row>
    <row r="16" ht="39.55" customHeight="1" s="11">
      <c r="A16" s="16" t="inlineStr">
        <is>
          <t>DOD1-13</t>
        </is>
      </c>
      <c r="B16" s="16" t="inlineStr">
        <is>
          <t>Datenschutz / D09</t>
        </is>
      </c>
      <c r="C16" s="16" t="inlineStr">
        <is>
          <t>Datenschutzhinweis wird vor der Einwilligung angezeigt und versioniert gespeichert. Verarbeitungsverzeichnis und TOM sind aktuell. Passwörter gehasht. KI-Antworten sind sichtbar und maschinenlesbar gekennzeichnet.</t>
        </is>
      </c>
      <c r="D16" s="16" t="inlineStr">
        <is>
          <t>Dokumente in docs/compliance, Tests für Hashing und Kennzeichnung</t>
        </is>
      </c>
      <c r="E16" s="16" t="inlineStr">
        <is>
          <t>Datenschutz / Security</t>
        </is>
      </c>
      <c r="F16" s="19" t="inlineStr">
        <is>
          <t>Offen</t>
        </is>
      </c>
      <c r="G16" s="19" t="inlineStr">
        <is>
          <t>Probe/geplant: docs/nachweise/M1/DOD1-13.md</t>
        </is>
      </c>
    </row>
  </sheetData>
  <mergeCells count="2">
    <mergeCell ref="A2:G2"/>
    <mergeCell ref="A1:G1"/>
  </mergeCells>
  <dataValidations count="1">
    <dataValidation sqref="F4:F16" showDropDown="0" showInputMessage="0" showErrorMessage="0" allowBlank="0" type="list" errorStyle="stop" operator="between">
      <formula1>"Offen,In Prüfung,Erfüllt"</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2026-10-14T15:55:12Z</dcterms:created>
  <dcterms:modified xsi:type="dcterms:W3CDTF">2026-10-14T22:02:21Z</dcterms:modified>
  <cp:revision>0</cp:revision>
</cp:coreProperties>
</file>